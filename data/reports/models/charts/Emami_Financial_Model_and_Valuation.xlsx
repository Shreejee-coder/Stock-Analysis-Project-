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SE\Sem 3\Financial Modelling\"/>
    </mc:Choice>
  </mc:AlternateContent>
  <xr:revisionPtr revIDLastSave="0" documentId="13_ncr:1_{1EB51A05-89F3-46CA-8CB4-E2552DA26D7C}" xr6:coauthVersionLast="47" xr6:coauthVersionMax="47" xr10:uidLastSave="{00000000-0000-0000-0000-000000000000}"/>
  <bookViews>
    <workbookView xWindow="-110" yWindow="-110" windowWidth="19420" windowHeight="11020" tabRatio="906" firstSheet="4" activeTab="14" xr2:uid="{00000000-000D-0000-FFFF-FFFF00000000}"/>
  </bookViews>
  <sheets>
    <sheet name="Basic" sheetId="1" r:id="rId1"/>
    <sheet name="Income Statement" sheetId="2" r:id="rId2"/>
    <sheet name="Balance Sheet" sheetId="3" r:id="rId3"/>
    <sheet name="Cash Flow " sheetId="4" r:id="rId4"/>
    <sheet name="Revenue Tab" sheetId="5" r:id="rId5"/>
    <sheet name="Expense Tab" sheetId="6" r:id="rId6"/>
    <sheet name="Current Assets" sheetId="7" r:id="rId7"/>
    <sheet name="Current Liability" sheetId="8" r:id="rId8"/>
    <sheet name="Change in WC" sheetId="9" r:id="rId9"/>
    <sheet name="D&amp;A" sheetId="10" r:id="rId10"/>
    <sheet name="DEBT" sheetId="12" r:id="rId11"/>
    <sheet name="Equity Scheduled" sheetId="13" r:id="rId12"/>
    <sheet name="FCFF" sheetId="14" r:id="rId13"/>
    <sheet name="WACC" sheetId="15" r:id="rId14"/>
    <sheet name="DCF Valuation" sheetId="16" r:id="rId15"/>
  </sheets>
  <externalReferences>
    <externalReference r:id="rId16"/>
  </externalReferenc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20" i="16" l="1"/>
  <c r="AD20" i="16"/>
  <c r="AE20" i="16"/>
  <c r="AF20" i="16"/>
  <c r="AC11" i="6"/>
  <c r="B15" i="6"/>
  <c r="B6" i="6"/>
  <c r="AC12" i="5"/>
  <c r="X6" i="2"/>
  <c r="AC2" i="5"/>
  <c r="B1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C2" i="5"/>
  <c r="AB8" i="16" l="1"/>
  <c r="AB16" i="15"/>
  <c r="AB18" i="15" s="1"/>
  <c r="G11" i="15"/>
  <c r="K11" i="15"/>
  <c r="O11" i="15"/>
  <c r="W11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W10" i="15"/>
  <c r="X10" i="15"/>
  <c r="AC10" i="15"/>
  <c r="AD10" i="15"/>
  <c r="AE10" i="15"/>
  <c r="AF10" i="15"/>
  <c r="C10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C9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W8" i="15"/>
  <c r="X8" i="15"/>
  <c r="AB8" i="15"/>
  <c r="AB10" i="15" s="1"/>
  <c r="AC8" i="15"/>
  <c r="AD8" i="15"/>
  <c r="AE8" i="15"/>
  <c r="AF8" i="15"/>
  <c r="C8" i="15"/>
  <c r="D3" i="15"/>
  <c r="E3" i="15"/>
  <c r="F3" i="15"/>
  <c r="F5" i="15" s="1"/>
  <c r="F11" i="15" s="1"/>
  <c r="G3" i="15"/>
  <c r="G5" i="15" s="1"/>
  <c r="H3" i="15"/>
  <c r="I3" i="15"/>
  <c r="J3" i="15"/>
  <c r="J5" i="15" s="1"/>
  <c r="J11" i="15" s="1"/>
  <c r="K3" i="15"/>
  <c r="K5" i="15" s="1"/>
  <c r="L3" i="15"/>
  <c r="M3" i="15"/>
  <c r="N3" i="15"/>
  <c r="N5" i="15" s="1"/>
  <c r="N11" i="15" s="1"/>
  <c r="O3" i="15"/>
  <c r="O5" i="15" s="1"/>
  <c r="P3" i="15"/>
  <c r="Q3" i="15"/>
  <c r="R3" i="15"/>
  <c r="R5" i="15" s="1"/>
  <c r="R11" i="15" s="1"/>
  <c r="S3" i="15"/>
  <c r="T3" i="15"/>
  <c r="U3" i="15"/>
  <c r="V3" i="15"/>
  <c r="W3" i="15"/>
  <c r="W5" i="15" s="1"/>
  <c r="X3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W4" i="15"/>
  <c r="X4" i="15"/>
  <c r="Y4" i="15"/>
  <c r="Z4" i="15"/>
  <c r="AA4" i="15"/>
  <c r="AB4" i="15"/>
  <c r="AC4" i="15"/>
  <c r="AD4" i="15"/>
  <c r="AE4" i="15"/>
  <c r="AF4" i="15"/>
  <c r="D5" i="15"/>
  <c r="D11" i="15" s="1"/>
  <c r="E5" i="15"/>
  <c r="E11" i="15" s="1"/>
  <c r="H5" i="15"/>
  <c r="H11" i="15" s="1"/>
  <c r="I5" i="15"/>
  <c r="I11" i="15" s="1"/>
  <c r="L5" i="15"/>
  <c r="L11" i="15" s="1"/>
  <c r="M5" i="15"/>
  <c r="M11" i="15" s="1"/>
  <c r="P5" i="15"/>
  <c r="P11" i="15" s="1"/>
  <c r="Q5" i="15"/>
  <c r="Q11" i="15" s="1"/>
  <c r="X5" i="15"/>
  <c r="X11" i="15" s="1"/>
  <c r="C5" i="15"/>
  <c r="C11" i="15" s="1"/>
  <c r="C4" i="15"/>
  <c r="C3" i="15"/>
  <c r="Z36" i="3" l="1"/>
  <c r="AA36" i="3"/>
  <c r="AB36" i="3"/>
  <c r="AC36" i="3"/>
  <c r="Z39" i="3"/>
  <c r="AA39" i="3"/>
  <c r="AB39" i="3"/>
  <c r="AC39" i="3"/>
  <c r="Y39" i="3"/>
  <c r="Y36" i="3"/>
  <c r="AC31" i="2"/>
  <c r="AD31" i="2"/>
  <c r="AE31" i="2"/>
  <c r="AF31" i="2"/>
  <c r="AC26" i="2"/>
  <c r="AD26" i="2"/>
  <c r="AE26" i="2"/>
  <c r="AF26" i="2"/>
  <c r="AB26" i="2"/>
  <c r="AC25" i="2"/>
  <c r="AD25" i="2"/>
  <c r="AE25" i="2"/>
  <c r="AF25" i="2"/>
  <c r="AB25" i="2"/>
  <c r="AC24" i="2"/>
  <c r="AD24" i="2"/>
  <c r="AE24" i="2"/>
  <c r="AF24" i="2"/>
  <c r="AB24" i="2"/>
  <c r="AB9" i="13"/>
  <c r="AF12" i="10"/>
  <c r="AE12" i="10"/>
  <c r="AD12" i="10"/>
  <c r="AC12" i="10"/>
  <c r="AC19" i="10"/>
  <c r="AD19" i="10"/>
  <c r="AE19" i="10"/>
  <c r="AF19" i="10"/>
  <c r="AC20" i="10"/>
  <c r="AD20" i="10"/>
  <c r="AE20" i="10"/>
  <c r="AF20" i="10"/>
  <c r="AB20" i="10"/>
  <c r="AB19" i="10"/>
  <c r="AC16" i="10"/>
  <c r="AD16" i="10"/>
  <c r="AE16" i="10"/>
  <c r="AF16" i="10"/>
  <c r="AB16" i="10"/>
  <c r="AC17" i="10"/>
  <c r="AD17" i="10"/>
  <c r="AE17" i="10"/>
  <c r="AF17" i="10"/>
  <c r="AB17" i="10"/>
  <c r="AF14" i="10"/>
  <c r="AE14" i="10"/>
  <c r="AD14" i="10"/>
  <c r="AC14" i="10"/>
  <c r="AB14" i="10"/>
  <c r="D11" i="10"/>
  <c r="E11" i="10"/>
  <c r="F11" i="10"/>
  <c r="G11" i="10"/>
  <c r="I11" i="10"/>
  <c r="J11" i="10"/>
  <c r="K11" i="10"/>
  <c r="L11" i="10"/>
  <c r="N11" i="10"/>
  <c r="O11" i="10"/>
  <c r="P11" i="10"/>
  <c r="Q11" i="10"/>
  <c r="S11" i="10"/>
  <c r="T11" i="10"/>
  <c r="U11" i="10"/>
  <c r="V11" i="10"/>
  <c r="AF8" i="12"/>
  <c r="AD8" i="12"/>
  <c r="AE8" i="12"/>
  <c r="AC8" i="12"/>
  <c r="AB8" i="12"/>
  <c r="D6" i="12"/>
  <c r="E6" i="12"/>
  <c r="F6" i="12"/>
  <c r="G6" i="12"/>
  <c r="AD4" i="10"/>
  <c r="AE4" i="10" s="1"/>
  <c r="AF4" i="10" s="1"/>
  <c r="AC4" i="10"/>
  <c r="AB12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AB3" i="10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D3" i="14" l="1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C5" i="14"/>
  <c r="AD5" i="14"/>
  <c r="AE5" i="14"/>
  <c r="AF5" i="14"/>
  <c r="F6" i="14"/>
  <c r="F8" i="14" s="1"/>
  <c r="I6" i="14"/>
  <c r="V6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W7" i="14"/>
  <c r="C7" i="14"/>
  <c r="C5" i="14"/>
  <c r="C4" i="14"/>
  <c r="C3" i="14"/>
  <c r="X14" i="13"/>
  <c r="X17" i="13" s="1"/>
  <c r="Y14" i="13"/>
  <c r="Z14" i="13"/>
  <c r="AA14" i="13"/>
  <c r="X15" i="13"/>
  <c r="Y15" i="13"/>
  <c r="Y10" i="13" s="1"/>
  <c r="Z15" i="13"/>
  <c r="Z10" i="13" s="1"/>
  <c r="AA15" i="13"/>
  <c r="X12" i="13"/>
  <c r="Y12" i="13"/>
  <c r="Z12" i="13"/>
  <c r="AA12" i="13"/>
  <c r="X10" i="13"/>
  <c r="D14" i="13"/>
  <c r="D17" i="13" s="1"/>
  <c r="E14" i="13"/>
  <c r="F14" i="13"/>
  <c r="F17" i="13" s="1"/>
  <c r="G14" i="13"/>
  <c r="G17" i="13" s="1"/>
  <c r="H14" i="13"/>
  <c r="H17" i="13" s="1"/>
  <c r="I14" i="13"/>
  <c r="J14" i="13"/>
  <c r="J17" i="13" s="1"/>
  <c r="K14" i="13"/>
  <c r="K17" i="13" s="1"/>
  <c r="L14" i="13"/>
  <c r="L17" i="13" s="1"/>
  <c r="M14" i="13"/>
  <c r="N14" i="13"/>
  <c r="N17" i="13" s="1"/>
  <c r="O14" i="13"/>
  <c r="O17" i="13" s="1"/>
  <c r="P14" i="13"/>
  <c r="P17" i="13" s="1"/>
  <c r="Q14" i="13"/>
  <c r="R14" i="13"/>
  <c r="R17" i="13" s="1"/>
  <c r="S14" i="13"/>
  <c r="S17" i="13" s="1"/>
  <c r="T14" i="13"/>
  <c r="T17" i="13" s="1"/>
  <c r="U14" i="13"/>
  <c r="V14" i="13"/>
  <c r="V17" i="13" s="1"/>
  <c r="W14" i="13"/>
  <c r="W17" i="13" s="1"/>
  <c r="D15" i="13"/>
  <c r="D10" i="13" s="1"/>
  <c r="E15" i="13"/>
  <c r="E17" i="13" s="1"/>
  <c r="F15" i="13"/>
  <c r="F10" i="13" s="1"/>
  <c r="G15" i="13"/>
  <c r="G10" i="13" s="1"/>
  <c r="H15" i="13"/>
  <c r="H10" i="13" s="1"/>
  <c r="I15" i="13"/>
  <c r="I17" i="13" s="1"/>
  <c r="J15" i="13"/>
  <c r="J10" i="13" s="1"/>
  <c r="K15" i="13"/>
  <c r="K10" i="13" s="1"/>
  <c r="L15" i="13"/>
  <c r="L10" i="13" s="1"/>
  <c r="M15" i="13"/>
  <c r="M17" i="13" s="1"/>
  <c r="N15" i="13"/>
  <c r="N10" i="13" s="1"/>
  <c r="O15" i="13"/>
  <c r="O10" i="13" s="1"/>
  <c r="P15" i="13"/>
  <c r="P10" i="13" s="1"/>
  <c r="Q15" i="13"/>
  <c r="Q17" i="13" s="1"/>
  <c r="R15" i="13"/>
  <c r="R10" i="13" s="1"/>
  <c r="S15" i="13"/>
  <c r="S10" i="13" s="1"/>
  <c r="T15" i="13"/>
  <c r="T10" i="13" s="1"/>
  <c r="U15" i="13"/>
  <c r="U17" i="13" s="1"/>
  <c r="V15" i="13"/>
  <c r="V10" i="13" s="1"/>
  <c r="W15" i="13"/>
  <c r="W10" i="13" s="1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D4" i="13"/>
  <c r="D12" i="13" s="1"/>
  <c r="I9" i="13" s="1"/>
  <c r="E4" i="13"/>
  <c r="E12" i="13" s="1"/>
  <c r="J9" i="13" s="1"/>
  <c r="F4" i="13"/>
  <c r="F12" i="13" s="1"/>
  <c r="K9" i="13" s="1"/>
  <c r="G4" i="13"/>
  <c r="G12" i="13" s="1"/>
  <c r="L9" i="13" s="1"/>
  <c r="H4" i="13"/>
  <c r="H12" i="13" s="1"/>
  <c r="M9" i="13" s="1"/>
  <c r="I4" i="13"/>
  <c r="I12" i="13" s="1"/>
  <c r="N9" i="13" s="1"/>
  <c r="J4" i="13"/>
  <c r="J12" i="13" s="1"/>
  <c r="O9" i="13" s="1"/>
  <c r="K4" i="13"/>
  <c r="K12" i="13" s="1"/>
  <c r="P9" i="13" s="1"/>
  <c r="L4" i="13"/>
  <c r="L12" i="13" s="1"/>
  <c r="Q9" i="13" s="1"/>
  <c r="M4" i="13"/>
  <c r="M12" i="13" s="1"/>
  <c r="R9" i="13" s="1"/>
  <c r="N4" i="13"/>
  <c r="N12" i="13" s="1"/>
  <c r="S9" i="13" s="1"/>
  <c r="O4" i="13"/>
  <c r="O12" i="13" s="1"/>
  <c r="T9" i="13" s="1"/>
  <c r="P4" i="13"/>
  <c r="P12" i="13" s="1"/>
  <c r="U9" i="13" s="1"/>
  <c r="Q4" i="13"/>
  <c r="Q12" i="13" s="1"/>
  <c r="V9" i="13" s="1"/>
  <c r="R4" i="13"/>
  <c r="R12" i="13" s="1"/>
  <c r="W9" i="13" s="1"/>
  <c r="S4" i="13"/>
  <c r="S12" i="13" s="1"/>
  <c r="X9" i="13" s="1"/>
  <c r="T4" i="13"/>
  <c r="T12" i="13" s="1"/>
  <c r="Y9" i="13" s="1"/>
  <c r="U4" i="13"/>
  <c r="U12" i="13" s="1"/>
  <c r="Z9" i="13" s="1"/>
  <c r="V4" i="13"/>
  <c r="V12" i="13" s="1"/>
  <c r="AA9" i="13" s="1"/>
  <c r="W4" i="13"/>
  <c r="W12" i="13" s="1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C15" i="13"/>
  <c r="C10" i="13" s="1"/>
  <c r="C14" i="13"/>
  <c r="C17" i="13" s="1"/>
  <c r="C7" i="13"/>
  <c r="C6" i="13"/>
  <c r="C5" i="13"/>
  <c r="C4" i="13"/>
  <c r="C12" i="13" s="1"/>
  <c r="H9" i="13" s="1"/>
  <c r="C3" i="13"/>
  <c r="AC9" i="12"/>
  <c r="AD9" i="12"/>
  <c r="AE9" i="12"/>
  <c r="AF9" i="12"/>
  <c r="AB9" i="12"/>
  <c r="D12" i="12"/>
  <c r="E12" i="12"/>
  <c r="F12" i="12"/>
  <c r="F14" i="12" s="1"/>
  <c r="G12" i="12"/>
  <c r="G14" i="12" s="1"/>
  <c r="H12" i="12"/>
  <c r="I12" i="12"/>
  <c r="J12" i="12"/>
  <c r="J14" i="12" s="1"/>
  <c r="K12" i="12"/>
  <c r="K14" i="12" s="1"/>
  <c r="L12" i="12"/>
  <c r="M12" i="12"/>
  <c r="N12" i="12"/>
  <c r="N14" i="12" s="1"/>
  <c r="O12" i="12"/>
  <c r="O14" i="12" s="1"/>
  <c r="P12" i="12"/>
  <c r="Q12" i="12"/>
  <c r="R12" i="12"/>
  <c r="R14" i="12" s="1"/>
  <c r="S12" i="12"/>
  <c r="S14" i="12" s="1"/>
  <c r="S8" i="15" s="1"/>
  <c r="S10" i="15" s="1"/>
  <c r="T12" i="12"/>
  <c r="U12" i="12"/>
  <c r="V12" i="12"/>
  <c r="W12" i="12"/>
  <c r="W14" i="12" s="1"/>
  <c r="X12" i="12"/>
  <c r="Y12" i="12"/>
  <c r="Z12" i="12"/>
  <c r="Z14" i="12" s="1"/>
  <c r="Z8" i="15" s="1"/>
  <c r="Z10" i="15" s="1"/>
  <c r="AA12" i="12"/>
  <c r="AA14" i="12" s="1"/>
  <c r="AA8" i="15" s="1"/>
  <c r="AA10" i="15" s="1"/>
  <c r="C12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C8" i="12"/>
  <c r="C9" i="12" s="1"/>
  <c r="C7" i="12"/>
  <c r="AF5" i="12"/>
  <c r="AF10" i="12" s="1"/>
  <c r="AF12" i="12" s="1"/>
  <c r="AD5" i="12"/>
  <c r="AD10" i="12" s="1"/>
  <c r="AD12" i="12" s="1"/>
  <c r="AE5" i="12"/>
  <c r="AE10" i="12" s="1"/>
  <c r="AE12" i="12" s="1"/>
  <c r="D4" i="12"/>
  <c r="E4" i="12"/>
  <c r="F4" i="12"/>
  <c r="F5" i="12" s="1"/>
  <c r="F10" i="12" s="1"/>
  <c r="G4" i="12"/>
  <c r="G5" i="12" s="1"/>
  <c r="G10" i="12" s="1"/>
  <c r="H4" i="12"/>
  <c r="I4" i="12"/>
  <c r="J4" i="12"/>
  <c r="J5" i="12" s="1"/>
  <c r="J10" i="12" s="1"/>
  <c r="K4" i="12"/>
  <c r="K5" i="12" s="1"/>
  <c r="K10" i="12" s="1"/>
  <c r="L4" i="12"/>
  <c r="M4" i="12"/>
  <c r="N4" i="12"/>
  <c r="N5" i="12" s="1"/>
  <c r="N10" i="12" s="1"/>
  <c r="O4" i="12"/>
  <c r="O5" i="12" s="1"/>
  <c r="O10" i="12" s="1"/>
  <c r="P4" i="12"/>
  <c r="Q4" i="12"/>
  <c r="R4" i="12"/>
  <c r="R5" i="12" s="1"/>
  <c r="R10" i="12" s="1"/>
  <c r="S4" i="12"/>
  <c r="S5" i="12" s="1"/>
  <c r="S10" i="12" s="1"/>
  <c r="S4" i="15" s="1"/>
  <c r="T4" i="12"/>
  <c r="U4" i="12"/>
  <c r="V4" i="12"/>
  <c r="V5" i="12" s="1"/>
  <c r="W4" i="12"/>
  <c r="W5" i="12" s="1"/>
  <c r="W10" i="12" s="1"/>
  <c r="X4" i="12"/>
  <c r="Y4" i="12"/>
  <c r="Z4" i="12"/>
  <c r="Z5" i="12" s="1"/>
  <c r="Z10" i="12" s="1"/>
  <c r="AA4" i="12"/>
  <c r="AA5" i="12" s="1"/>
  <c r="AA10" i="12" s="1"/>
  <c r="D5" i="12"/>
  <c r="D10" i="12" s="1"/>
  <c r="E5" i="12"/>
  <c r="E10" i="12" s="1"/>
  <c r="H5" i="12"/>
  <c r="H10" i="12" s="1"/>
  <c r="I5" i="12"/>
  <c r="I10" i="12" s="1"/>
  <c r="L5" i="12"/>
  <c r="L10" i="12" s="1"/>
  <c r="M5" i="12"/>
  <c r="M10" i="12" s="1"/>
  <c r="P5" i="12"/>
  <c r="P10" i="12" s="1"/>
  <c r="Q5" i="12"/>
  <c r="Q10" i="12" s="1"/>
  <c r="T5" i="12"/>
  <c r="T10" i="12" s="1"/>
  <c r="T4" i="15" s="1"/>
  <c r="T5" i="15" s="1"/>
  <c r="T11" i="15" s="1"/>
  <c r="U5" i="12"/>
  <c r="U10" i="12" s="1"/>
  <c r="U4" i="15" s="1"/>
  <c r="U5" i="15" s="1"/>
  <c r="U11" i="15" s="1"/>
  <c r="X5" i="12"/>
  <c r="X10" i="12" s="1"/>
  <c r="Y5" i="12"/>
  <c r="Y10" i="12" s="1"/>
  <c r="AB5" i="12"/>
  <c r="AC5" i="12"/>
  <c r="AC10" i="12" s="1"/>
  <c r="AC12" i="12" s="1"/>
  <c r="C4" i="12"/>
  <c r="C5" i="12" s="1"/>
  <c r="C10" i="12" s="1"/>
  <c r="D6" i="10"/>
  <c r="E6" i="10"/>
  <c r="F6" i="10"/>
  <c r="G6" i="10"/>
  <c r="H6" i="10"/>
  <c r="I6" i="10"/>
  <c r="I7" i="10" s="1"/>
  <c r="J6" i="10"/>
  <c r="K6" i="10"/>
  <c r="L6" i="10"/>
  <c r="M6" i="10"/>
  <c r="M7" i="10" s="1"/>
  <c r="N6" i="10"/>
  <c r="O6" i="10"/>
  <c r="P6" i="10"/>
  <c r="Q6" i="10"/>
  <c r="Q7" i="10" s="1"/>
  <c r="R6" i="10"/>
  <c r="S6" i="10"/>
  <c r="T6" i="10"/>
  <c r="U6" i="10"/>
  <c r="U7" i="10" s="1"/>
  <c r="V6" i="10"/>
  <c r="W6" i="10"/>
  <c r="X6" i="10"/>
  <c r="Y6" i="10"/>
  <c r="Y7" i="10" s="1"/>
  <c r="Z6" i="10"/>
  <c r="AA6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X3" i="10" s="1"/>
  <c r="T8" i="10"/>
  <c r="Y3" i="10" s="1"/>
  <c r="U8" i="10"/>
  <c r="Z3" i="10" s="1"/>
  <c r="V8" i="10"/>
  <c r="AA3" i="10" s="1"/>
  <c r="W8" i="10"/>
  <c r="X8" i="10"/>
  <c r="Y8" i="10"/>
  <c r="Z8" i="10"/>
  <c r="AA8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P17" i="10" s="1"/>
  <c r="U12" i="10" s="1"/>
  <c r="Q15" i="10"/>
  <c r="R15" i="10"/>
  <c r="S15" i="10"/>
  <c r="T15" i="10"/>
  <c r="U15" i="10"/>
  <c r="V15" i="10"/>
  <c r="V17" i="10" s="1"/>
  <c r="AA12" i="10" s="1"/>
  <c r="W15" i="10"/>
  <c r="X15" i="10"/>
  <c r="X17" i="10" s="1"/>
  <c r="Y15" i="10"/>
  <c r="Z15" i="10"/>
  <c r="AA15" i="10"/>
  <c r="D16" i="10"/>
  <c r="E16" i="10"/>
  <c r="F16" i="10"/>
  <c r="G16" i="10"/>
  <c r="H16" i="10"/>
  <c r="I16" i="10"/>
  <c r="J16" i="10"/>
  <c r="J17" i="10" s="1"/>
  <c r="O12" i="10" s="1"/>
  <c r="K16" i="10"/>
  <c r="L16" i="10"/>
  <c r="M16" i="10"/>
  <c r="N16" i="10"/>
  <c r="O16" i="10"/>
  <c r="P16" i="10"/>
  <c r="Q16" i="10"/>
  <c r="R16" i="10"/>
  <c r="R17" i="10" s="1"/>
  <c r="W12" i="10" s="1"/>
  <c r="S16" i="10"/>
  <c r="T16" i="10"/>
  <c r="U16" i="10"/>
  <c r="V16" i="10"/>
  <c r="W16" i="10"/>
  <c r="X16" i="10"/>
  <c r="Y16" i="10"/>
  <c r="Z16" i="10"/>
  <c r="Z17" i="10" s="1"/>
  <c r="AA16" i="10"/>
  <c r="E17" i="10"/>
  <c r="J12" i="10" s="1"/>
  <c r="F17" i="10"/>
  <c r="K12" i="10" s="1"/>
  <c r="I17" i="10"/>
  <c r="N12" i="10" s="1"/>
  <c r="M17" i="10"/>
  <c r="R12" i="10" s="1"/>
  <c r="N17" i="10"/>
  <c r="S12" i="10" s="1"/>
  <c r="Q17" i="10"/>
  <c r="V12" i="10" s="1"/>
  <c r="U17" i="10"/>
  <c r="Z12" i="10" s="1"/>
  <c r="Y17" i="10"/>
  <c r="E19" i="10"/>
  <c r="I19" i="10"/>
  <c r="M19" i="10"/>
  <c r="Q19" i="10"/>
  <c r="U19" i="10"/>
  <c r="Y19" i="10"/>
  <c r="E20" i="10"/>
  <c r="E6" i="14" s="1"/>
  <c r="I20" i="10"/>
  <c r="M20" i="10"/>
  <c r="M6" i="14" s="1"/>
  <c r="Q20" i="10"/>
  <c r="Q6" i="14" s="1"/>
  <c r="U20" i="10"/>
  <c r="U6" i="14" s="1"/>
  <c r="D20" i="10"/>
  <c r="D6" i="14" s="1"/>
  <c r="F20" i="10"/>
  <c r="G20" i="10"/>
  <c r="G6" i="14" s="1"/>
  <c r="H20" i="10"/>
  <c r="H6" i="14" s="1"/>
  <c r="J20" i="10"/>
  <c r="J6" i="14" s="1"/>
  <c r="J8" i="14" s="1"/>
  <c r="K20" i="10"/>
  <c r="K6" i="14" s="1"/>
  <c r="L20" i="10"/>
  <c r="L6" i="14" s="1"/>
  <c r="N20" i="10"/>
  <c r="N6" i="14" s="1"/>
  <c r="N8" i="14" s="1"/>
  <c r="O20" i="10"/>
  <c r="O6" i="14" s="1"/>
  <c r="P20" i="10"/>
  <c r="P6" i="14" s="1"/>
  <c r="R20" i="10"/>
  <c r="R6" i="14" s="1"/>
  <c r="S20" i="10"/>
  <c r="S6" i="14" s="1"/>
  <c r="T20" i="10"/>
  <c r="T6" i="14" s="1"/>
  <c r="V20" i="10"/>
  <c r="W20" i="10"/>
  <c r="W6" i="14" s="1"/>
  <c r="C20" i="10"/>
  <c r="C6" i="14" s="1"/>
  <c r="C8" i="14" s="1"/>
  <c r="C16" i="10"/>
  <c r="C15" i="10"/>
  <c r="C17" i="10" s="1"/>
  <c r="H12" i="10" s="1"/>
  <c r="C14" i="10"/>
  <c r="X20" i="10"/>
  <c r="X6" i="14" s="1"/>
  <c r="Y20" i="10"/>
  <c r="Y6" i="14" s="1"/>
  <c r="Z20" i="10"/>
  <c r="Z6" i="14" s="1"/>
  <c r="AA20" i="10"/>
  <c r="AA6" i="14" s="1"/>
  <c r="AB6" i="14"/>
  <c r="AC6" i="14"/>
  <c r="AD6" i="14"/>
  <c r="AE6" i="14"/>
  <c r="AF6" i="14"/>
  <c r="C8" i="10"/>
  <c r="H7" i="10" s="1"/>
  <c r="C6" i="10"/>
  <c r="C19" i="10" s="1"/>
  <c r="D3" i="9"/>
  <c r="E3" i="9"/>
  <c r="F3" i="9"/>
  <c r="G3" i="9"/>
  <c r="H3" i="9"/>
  <c r="I3" i="9"/>
  <c r="J3" i="9"/>
  <c r="K3" i="9"/>
  <c r="L3" i="9"/>
  <c r="M3" i="9"/>
  <c r="N3" i="9"/>
  <c r="N5" i="9" s="1"/>
  <c r="N8" i="9" s="1"/>
  <c r="O3" i="9"/>
  <c r="O5" i="9" s="1"/>
  <c r="O8" i="9" s="1"/>
  <c r="P3" i="9"/>
  <c r="Q3" i="9"/>
  <c r="R3" i="9"/>
  <c r="W3" i="9"/>
  <c r="W5" i="9" s="1"/>
  <c r="W8" i="9" s="1"/>
  <c r="X3" i="9"/>
  <c r="AB3" i="9"/>
  <c r="AC3" i="9"/>
  <c r="AD3" i="9"/>
  <c r="AE3" i="9"/>
  <c r="AE5" i="9" s="1"/>
  <c r="AE8" i="9" s="1"/>
  <c r="AF3" i="9"/>
  <c r="D4" i="9"/>
  <c r="E4" i="9"/>
  <c r="F4" i="9"/>
  <c r="G4" i="9"/>
  <c r="H4" i="9"/>
  <c r="I4" i="9"/>
  <c r="I5" i="9" s="1"/>
  <c r="I8" i="9" s="1"/>
  <c r="J4" i="9"/>
  <c r="K4" i="9"/>
  <c r="L4" i="9"/>
  <c r="M4" i="9"/>
  <c r="N4" i="9"/>
  <c r="O4" i="9"/>
  <c r="P4" i="9"/>
  <c r="Q4" i="9"/>
  <c r="Q5" i="9" s="1"/>
  <c r="Q8" i="9" s="1"/>
  <c r="R4" i="9"/>
  <c r="W4" i="9"/>
  <c r="X4" i="9"/>
  <c r="AB4" i="9"/>
  <c r="AC4" i="9"/>
  <c r="AD4" i="9"/>
  <c r="AE4" i="9"/>
  <c r="AF4" i="9"/>
  <c r="D5" i="9"/>
  <c r="D8" i="9" s="1"/>
  <c r="E5" i="9"/>
  <c r="E8" i="9" s="1"/>
  <c r="H5" i="9"/>
  <c r="L5" i="9"/>
  <c r="L8" i="9" s="1"/>
  <c r="M5" i="9"/>
  <c r="M8" i="9" s="1"/>
  <c r="P5" i="9"/>
  <c r="X5" i="9"/>
  <c r="AB5" i="9"/>
  <c r="AB8" i="9" s="1"/>
  <c r="AC5" i="9"/>
  <c r="AC8" i="9" s="1"/>
  <c r="AF5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V7" i="9"/>
  <c r="W7" i="9"/>
  <c r="X7" i="9"/>
  <c r="Y7" i="9"/>
  <c r="Z7" i="9"/>
  <c r="AA7" i="9"/>
  <c r="AB7" i="9"/>
  <c r="AC7" i="9"/>
  <c r="AD7" i="9"/>
  <c r="AE7" i="9"/>
  <c r="AF7" i="9"/>
  <c r="D10" i="9"/>
  <c r="E10" i="9"/>
  <c r="E12" i="9" s="1"/>
  <c r="F10" i="9"/>
  <c r="G10" i="9"/>
  <c r="H10" i="9"/>
  <c r="I10" i="9"/>
  <c r="I12" i="9" s="1"/>
  <c r="J10" i="9"/>
  <c r="K10" i="9"/>
  <c r="L10" i="9"/>
  <c r="M10" i="9"/>
  <c r="M12" i="9" s="1"/>
  <c r="N10" i="9"/>
  <c r="O10" i="9"/>
  <c r="P10" i="9"/>
  <c r="Q10" i="9"/>
  <c r="Q12" i="9" s="1"/>
  <c r="R10" i="9"/>
  <c r="R12" i="9" s="1"/>
  <c r="W10" i="9"/>
  <c r="X10" i="9"/>
  <c r="Y10" i="9"/>
  <c r="Y12" i="9" s="1"/>
  <c r="Z10" i="9"/>
  <c r="Z12" i="9" s="1"/>
  <c r="AA10" i="9"/>
  <c r="D11" i="9"/>
  <c r="D12" i="9" s="1"/>
  <c r="E11" i="9"/>
  <c r="F11" i="9"/>
  <c r="G11" i="9"/>
  <c r="G12" i="9" s="1"/>
  <c r="H11" i="9"/>
  <c r="H12" i="9" s="1"/>
  <c r="I11" i="9"/>
  <c r="J11" i="9"/>
  <c r="K11" i="9"/>
  <c r="L11" i="9"/>
  <c r="L12" i="9" s="1"/>
  <c r="L13" i="9" s="1"/>
  <c r="M11" i="9"/>
  <c r="N11" i="9"/>
  <c r="O11" i="9"/>
  <c r="O12" i="9" s="1"/>
  <c r="P11" i="9"/>
  <c r="Q11" i="9"/>
  <c r="R11" i="9"/>
  <c r="W11" i="9"/>
  <c r="W12" i="9" s="1"/>
  <c r="W13" i="9" s="1"/>
  <c r="X11" i="9"/>
  <c r="X12" i="9" s="1"/>
  <c r="Y11" i="9"/>
  <c r="Z11" i="9"/>
  <c r="AA11" i="9"/>
  <c r="K12" i="9"/>
  <c r="P12" i="9"/>
  <c r="AA12" i="9"/>
  <c r="C11" i="9"/>
  <c r="C12" i="9" s="1"/>
  <c r="C10" i="9"/>
  <c r="C7" i="9"/>
  <c r="C4" i="9"/>
  <c r="C3" i="9"/>
  <c r="C5" i="9" s="1"/>
  <c r="C8" i="9" s="1"/>
  <c r="X16" i="8"/>
  <c r="Y16" i="8"/>
  <c r="Z16" i="8"/>
  <c r="AA16" i="8"/>
  <c r="X19" i="8"/>
  <c r="X20" i="8"/>
  <c r="D6" i="8"/>
  <c r="D5" i="8" s="1"/>
  <c r="D22" i="8" s="1"/>
  <c r="E6" i="8"/>
  <c r="E5" i="8" s="1"/>
  <c r="E22" i="8" s="1"/>
  <c r="F6" i="8"/>
  <c r="F5" i="8" s="1"/>
  <c r="F22" i="8" s="1"/>
  <c r="G6" i="8"/>
  <c r="G5" i="8" s="1"/>
  <c r="G22" i="8" s="1"/>
  <c r="H6" i="8"/>
  <c r="H5" i="8" s="1"/>
  <c r="H22" i="8" s="1"/>
  <c r="I6" i="8"/>
  <c r="I5" i="8" s="1"/>
  <c r="I22" i="8" s="1"/>
  <c r="J6" i="8"/>
  <c r="J5" i="8" s="1"/>
  <c r="J22" i="8" s="1"/>
  <c r="K6" i="8"/>
  <c r="K5" i="8" s="1"/>
  <c r="K22" i="8" s="1"/>
  <c r="L6" i="8"/>
  <c r="L5" i="8" s="1"/>
  <c r="L22" i="8" s="1"/>
  <c r="M6" i="8"/>
  <c r="M5" i="8" s="1"/>
  <c r="M22" i="8" s="1"/>
  <c r="N6" i="8"/>
  <c r="N5" i="8" s="1"/>
  <c r="N22" i="8" s="1"/>
  <c r="O6" i="8"/>
  <c r="O5" i="8" s="1"/>
  <c r="O22" i="8" s="1"/>
  <c r="P6" i="8"/>
  <c r="P5" i="8" s="1"/>
  <c r="P22" i="8" s="1"/>
  <c r="Q6" i="8"/>
  <c r="Q5" i="8" s="1"/>
  <c r="Q22" i="8" s="1"/>
  <c r="R6" i="8"/>
  <c r="R5" i="8" s="1"/>
  <c r="R22" i="8" s="1"/>
  <c r="S6" i="8"/>
  <c r="S5" i="8" s="1"/>
  <c r="S22" i="8" s="1"/>
  <c r="S7" i="9" s="1"/>
  <c r="T6" i="8"/>
  <c r="U6" i="8"/>
  <c r="V6" i="8"/>
  <c r="V5" i="8" s="1"/>
  <c r="V22" i="8" s="1"/>
  <c r="W6" i="8"/>
  <c r="W5" i="8" s="1"/>
  <c r="W22" i="8" s="1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W16" i="8"/>
  <c r="D19" i="8"/>
  <c r="D4" i="8" s="1"/>
  <c r="E19" i="8"/>
  <c r="E4" i="8" s="1"/>
  <c r="F19" i="8"/>
  <c r="F4" i="8" s="1"/>
  <c r="G19" i="8"/>
  <c r="G4" i="8" s="1"/>
  <c r="H19" i="8"/>
  <c r="H15" i="8" s="1"/>
  <c r="I19" i="8"/>
  <c r="I4" i="8" s="1"/>
  <c r="J19" i="8"/>
  <c r="J4" i="8" s="1"/>
  <c r="K19" i="8"/>
  <c r="K4" i="8" s="1"/>
  <c r="L19" i="8"/>
  <c r="L4" i="8" s="1"/>
  <c r="M19" i="8"/>
  <c r="M4" i="8" s="1"/>
  <c r="N19" i="8"/>
  <c r="N4" i="8" s="1"/>
  <c r="O19" i="8"/>
  <c r="O4" i="8" s="1"/>
  <c r="P19" i="8"/>
  <c r="P4" i="8" s="1"/>
  <c r="Q19" i="8"/>
  <c r="Q4" i="8" s="1"/>
  <c r="R19" i="8"/>
  <c r="R4" i="8" s="1"/>
  <c r="S19" i="8"/>
  <c r="T19" i="8"/>
  <c r="T9" i="8" s="1"/>
  <c r="U19" i="8"/>
  <c r="V19" i="8"/>
  <c r="W19" i="8"/>
  <c r="W4" i="8" s="1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C15" i="8"/>
  <c r="C13" i="8"/>
  <c r="C11" i="8"/>
  <c r="C9" i="8"/>
  <c r="C4" i="8"/>
  <c r="C22" i="8"/>
  <c r="C20" i="8"/>
  <c r="C19" i="8"/>
  <c r="C16" i="8"/>
  <c r="C14" i="8"/>
  <c r="C12" i="8"/>
  <c r="C10" i="8"/>
  <c r="C8" i="8"/>
  <c r="C5" i="8"/>
  <c r="C7" i="8"/>
  <c r="C6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S16" i="8" s="1"/>
  <c r="S11" i="9" s="1"/>
  <c r="T3" i="8"/>
  <c r="T16" i="8" s="1"/>
  <c r="T11" i="9" s="1"/>
  <c r="U3" i="8"/>
  <c r="U16" i="8" s="1"/>
  <c r="U11" i="9" s="1"/>
  <c r="V3" i="8"/>
  <c r="V16" i="8" s="1"/>
  <c r="V11" i="9" s="1"/>
  <c r="W3" i="8"/>
  <c r="X3" i="8"/>
  <c r="Y3" i="8"/>
  <c r="Z3" i="8"/>
  <c r="AA3" i="8"/>
  <c r="C3" i="8"/>
  <c r="S4" i="8" l="1"/>
  <c r="V4" i="8"/>
  <c r="U4" i="8"/>
  <c r="U5" i="8"/>
  <c r="U22" i="8" s="1"/>
  <c r="U7" i="9" s="1"/>
  <c r="T17" i="10"/>
  <c r="Y12" i="10" s="1"/>
  <c r="S5" i="15"/>
  <c r="S11" i="15" s="1"/>
  <c r="T5" i="8"/>
  <c r="T22" i="8" s="1"/>
  <c r="T7" i="9" s="1"/>
  <c r="V10" i="12"/>
  <c r="V4" i="15" s="1"/>
  <c r="V5" i="15" s="1"/>
  <c r="V11" i="15" s="1"/>
  <c r="Y17" i="13"/>
  <c r="Z17" i="13"/>
  <c r="AB10" i="12"/>
  <c r="Q8" i="14"/>
  <c r="M8" i="14"/>
  <c r="I8" i="14"/>
  <c r="E8" i="14"/>
  <c r="W8" i="14"/>
  <c r="O8" i="14"/>
  <c r="K8" i="14"/>
  <c r="G8" i="14"/>
  <c r="P8" i="14"/>
  <c r="L8" i="14"/>
  <c r="H8" i="14"/>
  <c r="D8" i="14"/>
  <c r="R8" i="14"/>
  <c r="P13" i="9"/>
  <c r="Q13" i="9"/>
  <c r="I13" i="9"/>
  <c r="L14" i="12"/>
  <c r="H14" i="12"/>
  <c r="D14" i="12"/>
  <c r="H13" i="9"/>
  <c r="M13" i="9"/>
  <c r="AB6" i="10"/>
  <c r="AB8" i="10" s="1"/>
  <c r="AC3" i="10" s="1"/>
  <c r="AC6" i="10" s="1"/>
  <c r="C14" i="12"/>
  <c r="X14" i="12"/>
  <c r="T14" i="12"/>
  <c r="T8" i="15" s="1"/>
  <c r="T10" i="15" s="1"/>
  <c r="P14" i="12"/>
  <c r="R13" i="9"/>
  <c r="X7" i="10"/>
  <c r="T7" i="10"/>
  <c r="P7" i="10"/>
  <c r="L7" i="10"/>
  <c r="Y14" i="12"/>
  <c r="Y8" i="15" s="1"/>
  <c r="Y10" i="15" s="1"/>
  <c r="U14" i="12"/>
  <c r="U8" i="15" s="1"/>
  <c r="U10" i="15" s="1"/>
  <c r="Q14" i="12"/>
  <c r="M14" i="12"/>
  <c r="I14" i="12"/>
  <c r="E14" i="12"/>
  <c r="J5" i="9"/>
  <c r="J8" i="9" s="1"/>
  <c r="F5" i="9"/>
  <c r="F8" i="9" s="1"/>
  <c r="AA19" i="10"/>
  <c r="W19" i="10"/>
  <c r="S19" i="10"/>
  <c r="O19" i="10"/>
  <c r="K19" i="10"/>
  <c r="G19" i="10"/>
  <c r="AA10" i="13"/>
  <c r="AA17" i="13"/>
  <c r="AD5" i="9"/>
  <c r="AD8" i="9" s="1"/>
  <c r="R5" i="9"/>
  <c r="R8" i="9" s="1"/>
  <c r="Z19" i="10"/>
  <c r="V19" i="10"/>
  <c r="R19" i="10"/>
  <c r="N19" i="10"/>
  <c r="J19" i="10"/>
  <c r="F19" i="10"/>
  <c r="U10" i="13"/>
  <c r="Q10" i="13"/>
  <c r="M10" i="13"/>
  <c r="I10" i="13"/>
  <c r="E10" i="13"/>
  <c r="N12" i="9"/>
  <c r="N13" i="9" s="1"/>
  <c r="J12" i="9"/>
  <c r="J13" i="9" s="1"/>
  <c r="F12" i="9"/>
  <c r="K13" i="9" s="1"/>
  <c r="AF8" i="9"/>
  <c r="X8" i="9"/>
  <c r="P8" i="9"/>
  <c r="H8" i="9"/>
  <c r="L17" i="10"/>
  <c r="Q12" i="10" s="1"/>
  <c r="H17" i="10"/>
  <c r="M12" i="10" s="1"/>
  <c r="D17" i="10"/>
  <c r="I12" i="10" s="1"/>
  <c r="AA7" i="10"/>
  <c r="W7" i="10"/>
  <c r="S7" i="10"/>
  <c r="O7" i="10"/>
  <c r="K7" i="10"/>
  <c r="K5" i="9"/>
  <c r="K8" i="9" s="1"/>
  <c r="G5" i="9"/>
  <c r="G8" i="9" s="1"/>
  <c r="AA17" i="10"/>
  <c r="W17" i="10"/>
  <c r="S17" i="10"/>
  <c r="X12" i="10" s="1"/>
  <c r="O17" i="10"/>
  <c r="T12" i="10" s="1"/>
  <c r="K17" i="10"/>
  <c r="P12" i="10" s="1"/>
  <c r="G17" i="10"/>
  <c r="L12" i="10" s="1"/>
  <c r="Z7" i="10"/>
  <c r="V7" i="10"/>
  <c r="R7" i="10"/>
  <c r="N7" i="10"/>
  <c r="J7" i="10"/>
  <c r="X19" i="10"/>
  <c r="T19" i="10"/>
  <c r="P19" i="10"/>
  <c r="L19" i="10"/>
  <c r="H19" i="10"/>
  <c r="D19" i="10"/>
  <c r="U15" i="8"/>
  <c r="Q15" i="8"/>
  <c r="M15" i="8"/>
  <c r="I15" i="8"/>
  <c r="E15" i="8"/>
  <c r="U13" i="8"/>
  <c r="Q13" i="8"/>
  <c r="M13" i="8"/>
  <c r="I13" i="8"/>
  <c r="E13" i="8"/>
  <c r="U11" i="8"/>
  <c r="Q11" i="8"/>
  <c r="M11" i="8"/>
  <c r="I11" i="8"/>
  <c r="E11" i="8"/>
  <c r="U9" i="8"/>
  <c r="Q9" i="8"/>
  <c r="M9" i="8"/>
  <c r="I9" i="8"/>
  <c r="E9" i="8"/>
  <c r="T15" i="8"/>
  <c r="L15" i="8"/>
  <c r="D15" i="8"/>
  <c r="P13" i="8"/>
  <c r="H13" i="8"/>
  <c r="P11" i="8"/>
  <c r="H11" i="8"/>
  <c r="P9" i="8"/>
  <c r="H9" i="8"/>
  <c r="T4" i="8"/>
  <c r="H4" i="8"/>
  <c r="W15" i="8"/>
  <c r="S15" i="8"/>
  <c r="O15" i="8"/>
  <c r="K15" i="8"/>
  <c r="G15" i="8"/>
  <c r="W13" i="8"/>
  <c r="S13" i="8"/>
  <c r="O13" i="8"/>
  <c r="K13" i="8"/>
  <c r="G13" i="8"/>
  <c r="W11" i="8"/>
  <c r="S11" i="8"/>
  <c r="O11" i="8"/>
  <c r="K11" i="8"/>
  <c r="G11" i="8"/>
  <c r="W9" i="8"/>
  <c r="S9" i="8"/>
  <c r="O9" i="8"/>
  <c r="K9" i="8"/>
  <c r="G9" i="8"/>
  <c r="P15" i="8"/>
  <c r="T13" i="8"/>
  <c r="L13" i="8"/>
  <c r="D13" i="8"/>
  <c r="T11" i="8"/>
  <c r="L11" i="8"/>
  <c r="D11" i="8"/>
  <c r="L9" i="8"/>
  <c r="D9" i="8"/>
  <c r="V15" i="8"/>
  <c r="R15" i="8"/>
  <c r="N15" i="8"/>
  <c r="J15" i="8"/>
  <c r="F15" i="8"/>
  <c r="V13" i="8"/>
  <c r="R13" i="8"/>
  <c r="N13" i="8"/>
  <c r="J13" i="8"/>
  <c r="F13" i="8"/>
  <c r="V11" i="8"/>
  <c r="R11" i="8"/>
  <c r="N11" i="8"/>
  <c r="J11" i="8"/>
  <c r="F11" i="8"/>
  <c r="V9" i="8"/>
  <c r="R9" i="8"/>
  <c r="N9" i="8"/>
  <c r="J9" i="8"/>
  <c r="F9" i="8"/>
  <c r="V14" i="12" l="1"/>
  <c r="V8" i="15" s="1"/>
  <c r="V10" i="15" s="1"/>
  <c r="AB12" i="12"/>
  <c r="AB31" i="2" s="1"/>
  <c r="AB5" i="14" s="1"/>
  <c r="AC8" i="10"/>
  <c r="AD3" i="10" s="1"/>
  <c r="AD6" i="10" s="1"/>
  <c r="O13" i="9"/>
  <c r="AD8" i="10" l="1"/>
  <c r="AE3" i="10" s="1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A11" i="7"/>
  <c r="AA14" i="7" s="1"/>
  <c r="Z11" i="7"/>
  <c r="Y11" i="7"/>
  <c r="Y14" i="7" s="1"/>
  <c r="X11" i="7"/>
  <c r="X14" i="7" s="1"/>
  <c r="W11" i="7"/>
  <c r="W14" i="7" s="1"/>
  <c r="V11" i="7"/>
  <c r="U11" i="7"/>
  <c r="T11" i="7"/>
  <c r="S11" i="7"/>
  <c r="R11" i="7"/>
  <c r="Q11" i="7"/>
  <c r="Q14" i="7" s="1"/>
  <c r="P11" i="7"/>
  <c r="P14" i="7" s="1"/>
  <c r="O11" i="7"/>
  <c r="O14" i="7" s="1"/>
  <c r="N11" i="7"/>
  <c r="M11" i="7"/>
  <c r="M14" i="7" s="1"/>
  <c r="L11" i="7"/>
  <c r="L14" i="7" s="1"/>
  <c r="K11" i="7"/>
  <c r="K14" i="7" s="1"/>
  <c r="J11" i="7"/>
  <c r="I11" i="7"/>
  <c r="I14" i="7" s="1"/>
  <c r="H11" i="7"/>
  <c r="H14" i="7" s="1"/>
  <c r="G11" i="7"/>
  <c r="G14" i="7" s="1"/>
  <c r="F11" i="7"/>
  <c r="E11" i="7"/>
  <c r="E14" i="7" s="1"/>
  <c r="D11" i="7"/>
  <c r="D14" i="7" s="1"/>
  <c r="C11" i="7"/>
  <c r="C14" i="7" s="1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AA4" i="7"/>
  <c r="Z4" i="7"/>
  <c r="Y4" i="7"/>
  <c r="X4" i="7"/>
  <c r="X5" i="7" s="1"/>
  <c r="W4" i="7"/>
  <c r="W5" i="7" s="1"/>
  <c r="V4" i="7"/>
  <c r="V5" i="7" s="1"/>
  <c r="U4" i="7"/>
  <c r="U5" i="7" s="1"/>
  <c r="T4" i="7"/>
  <c r="T5" i="7" s="1"/>
  <c r="S4" i="7"/>
  <c r="S5" i="7" s="1"/>
  <c r="R4" i="7"/>
  <c r="R5" i="7" s="1"/>
  <c r="Q4" i="7"/>
  <c r="Q5" i="7" s="1"/>
  <c r="P4" i="7"/>
  <c r="P5" i="7" s="1"/>
  <c r="O4" i="7"/>
  <c r="O5" i="7" s="1"/>
  <c r="N4" i="7"/>
  <c r="N5" i="7" s="1"/>
  <c r="M4" i="7"/>
  <c r="M5" i="7" s="1"/>
  <c r="L4" i="7"/>
  <c r="L5" i="7" s="1"/>
  <c r="K4" i="7"/>
  <c r="K5" i="7" s="1"/>
  <c r="J4" i="7"/>
  <c r="J5" i="7" s="1"/>
  <c r="I4" i="7"/>
  <c r="I5" i="7" s="1"/>
  <c r="H4" i="7"/>
  <c r="H5" i="7" s="1"/>
  <c r="G4" i="7"/>
  <c r="G5" i="7" s="1"/>
  <c r="F4" i="7"/>
  <c r="F5" i="7" s="1"/>
  <c r="E4" i="7"/>
  <c r="E5" i="7" s="1"/>
  <c r="D4" i="7"/>
  <c r="D5" i="7" s="1"/>
  <c r="C4" i="7"/>
  <c r="C5" i="7" s="1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17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X11" i="6"/>
  <c r="W11" i="6"/>
  <c r="V11" i="6"/>
  <c r="U11" i="6"/>
  <c r="T11" i="6"/>
  <c r="S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B9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G12" i="5"/>
  <c r="F12" i="5"/>
  <c r="E12" i="5"/>
  <c r="D12" i="5"/>
  <c r="C12" i="5"/>
  <c r="B11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F3" i="5"/>
  <c r="AE3" i="5"/>
  <c r="AD3" i="5"/>
  <c r="AC3" i="5"/>
  <c r="AA3" i="5"/>
  <c r="Z3" i="5"/>
  <c r="Y3" i="5"/>
  <c r="B3" i="5"/>
  <c r="B2" i="5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Z78" i="4"/>
  <c r="Y78" i="4"/>
  <c r="X78" i="4"/>
  <c r="M76" i="4"/>
  <c r="H76" i="4"/>
  <c r="V75" i="4"/>
  <c r="V77" i="4" s="1"/>
  <c r="R75" i="4"/>
  <c r="R77" i="4" s="1"/>
  <c r="N75" i="4"/>
  <c r="N77" i="4" s="1"/>
  <c r="J75" i="4"/>
  <c r="J77" i="4" s="1"/>
  <c r="F75" i="4"/>
  <c r="F77" i="4" s="1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W37" i="4"/>
  <c r="W75" i="4" s="1"/>
  <c r="V37" i="4"/>
  <c r="U37" i="4"/>
  <c r="U75" i="4" s="1"/>
  <c r="T37" i="4"/>
  <c r="T75" i="4" s="1"/>
  <c r="T78" i="4" s="1"/>
  <c r="S37" i="4"/>
  <c r="S75" i="4" s="1"/>
  <c r="R37" i="4"/>
  <c r="Q37" i="4"/>
  <c r="Q75" i="4" s="1"/>
  <c r="P37" i="4"/>
  <c r="P75" i="4" s="1"/>
  <c r="P78" i="4" s="1"/>
  <c r="O37" i="4"/>
  <c r="O75" i="4" s="1"/>
  <c r="N37" i="4"/>
  <c r="M37" i="4"/>
  <c r="M75" i="4" s="1"/>
  <c r="L37" i="4"/>
  <c r="L75" i="4" s="1"/>
  <c r="L78" i="4" s="1"/>
  <c r="K37" i="4"/>
  <c r="K75" i="4" s="1"/>
  <c r="J37" i="4"/>
  <c r="I37" i="4"/>
  <c r="I75" i="4" s="1"/>
  <c r="H37" i="4"/>
  <c r="H75" i="4" s="1"/>
  <c r="H78" i="4" s="1"/>
  <c r="G37" i="4"/>
  <c r="G75" i="4" s="1"/>
  <c r="F37" i="4"/>
  <c r="E37" i="4"/>
  <c r="E75" i="4" s="1"/>
  <c r="D37" i="4"/>
  <c r="D75" i="4" s="1"/>
  <c r="D78" i="4" s="1"/>
  <c r="C37" i="4"/>
  <c r="C75" i="4" s="1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R63" i="3"/>
  <c r="N63" i="3"/>
  <c r="J63" i="3"/>
  <c r="F63" i="3"/>
  <c r="W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W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P40" i="3"/>
  <c r="L40" i="3"/>
  <c r="H40" i="3"/>
  <c r="D40" i="3"/>
  <c r="W38" i="3"/>
  <c r="W40" i="3" s="1"/>
  <c r="W63" i="3" s="1"/>
  <c r="R38" i="3"/>
  <c r="R40" i="3" s="1"/>
  <c r="Q38" i="3"/>
  <c r="Q40" i="3" s="1"/>
  <c r="Q63" i="3" s="1"/>
  <c r="P38" i="3"/>
  <c r="O38" i="3"/>
  <c r="O40" i="3" s="1"/>
  <c r="O63" i="3" s="1"/>
  <c r="N38" i="3"/>
  <c r="N40" i="3" s="1"/>
  <c r="M38" i="3"/>
  <c r="M40" i="3" s="1"/>
  <c r="M63" i="3" s="1"/>
  <c r="L38" i="3"/>
  <c r="K38" i="3"/>
  <c r="K40" i="3" s="1"/>
  <c r="K63" i="3" s="1"/>
  <c r="J38" i="3"/>
  <c r="J40" i="3" s="1"/>
  <c r="I38" i="3"/>
  <c r="I40" i="3" s="1"/>
  <c r="I63" i="3" s="1"/>
  <c r="H38" i="3"/>
  <c r="G38" i="3"/>
  <c r="G40" i="3" s="1"/>
  <c r="G63" i="3" s="1"/>
  <c r="F38" i="3"/>
  <c r="F40" i="3" s="1"/>
  <c r="E38" i="3"/>
  <c r="E40" i="3" s="1"/>
  <c r="E63" i="3" s="1"/>
  <c r="D38" i="3"/>
  <c r="C38" i="3"/>
  <c r="C40" i="3" s="1"/>
  <c r="C63" i="3" s="1"/>
  <c r="R32" i="3"/>
  <c r="N32" i="3"/>
  <c r="J32" i="3"/>
  <c r="F32" i="3"/>
  <c r="W30" i="3"/>
  <c r="W32" i="3" s="1"/>
  <c r="R30" i="3"/>
  <c r="Q30" i="3"/>
  <c r="Q32" i="3" s="1"/>
  <c r="P30" i="3"/>
  <c r="O30" i="3"/>
  <c r="O32" i="3" s="1"/>
  <c r="N30" i="3"/>
  <c r="M30" i="3"/>
  <c r="M32" i="3" s="1"/>
  <c r="L30" i="3"/>
  <c r="K30" i="3"/>
  <c r="K32" i="3" s="1"/>
  <c r="J30" i="3"/>
  <c r="I30" i="3"/>
  <c r="I32" i="3" s="1"/>
  <c r="H30" i="3"/>
  <c r="G30" i="3"/>
  <c r="G32" i="3" s="1"/>
  <c r="F30" i="3"/>
  <c r="E30" i="3"/>
  <c r="E32" i="3" s="1"/>
  <c r="D30" i="3"/>
  <c r="C30" i="3"/>
  <c r="C32" i="3" s="1"/>
  <c r="W18" i="3"/>
  <c r="R18" i="3"/>
  <c r="Q18" i="3"/>
  <c r="P18" i="3"/>
  <c r="O18" i="3"/>
  <c r="N18" i="3"/>
  <c r="M18" i="3"/>
  <c r="L18" i="3"/>
  <c r="K18" i="3"/>
  <c r="J18" i="3"/>
  <c r="I18" i="3"/>
  <c r="G18" i="3"/>
  <c r="F18" i="3"/>
  <c r="E18" i="3"/>
  <c r="D18" i="3"/>
  <c r="M12" i="3"/>
  <c r="H12" i="3"/>
  <c r="H18" i="3" s="1"/>
  <c r="C12" i="3"/>
  <c r="C18" i="3" s="1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W26" i="2"/>
  <c r="R26" i="2"/>
  <c r="Q26" i="2"/>
  <c r="N26" i="2"/>
  <c r="M26" i="2"/>
  <c r="J26" i="2"/>
  <c r="I26" i="2"/>
  <c r="F26" i="2"/>
  <c r="E26" i="2"/>
  <c r="X24" i="2"/>
  <c r="X26" i="2" s="1"/>
  <c r="W24" i="2"/>
  <c r="V24" i="2"/>
  <c r="V26" i="2" s="1"/>
  <c r="U24" i="2"/>
  <c r="U26" i="2" s="1"/>
  <c r="T24" i="2"/>
  <c r="T26" i="2" s="1"/>
  <c r="S24" i="2"/>
  <c r="S26" i="2" s="1"/>
  <c r="R24" i="2"/>
  <c r="Q24" i="2"/>
  <c r="P24" i="2"/>
  <c r="P26" i="2" s="1"/>
  <c r="O24" i="2"/>
  <c r="O26" i="2" s="1"/>
  <c r="N24" i="2"/>
  <c r="M24" i="2"/>
  <c r="L24" i="2"/>
  <c r="L26" i="2" s="1"/>
  <c r="K24" i="2"/>
  <c r="K26" i="2" s="1"/>
  <c r="J24" i="2"/>
  <c r="I24" i="2"/>
  <c r="H24" i="2"/>
  <c r="H26" i="2" s="1"/>
  <c r="G24" i="2"/>
  <c r="G26" i="2" s="1"/>
  <c r="F24" i="2"/>
  <c r="E24" i="2"/>
  <c r="D24" i="2"/>
  <c r="D26" i="2" s="1"/>
  <c r="C24" i="2"/>
  <c r="C26" i="2" s="1"/>
  <c r="X20" i="2"/>
  <c r="X15" i="6" s="1"/>
  <c r="W20" i="2"/>
  <c r="W15" i="6" s="1"/>
  <c r="V20" i="2"/>
  <c r="V15" i="6" s="1"/>
  <c r="U20" i="2"/>
  <c r="U15" i="6" s="1"/>
  <c r="T20" i="2"/>
  <c r="T15" i="6" s="1"/>
  <c r="S20" i="2"/>
  <c r="S15" i="6" s="1"/>
  <c r="Q20" i="2"/>
  <c r="Q15" i="6" s="1"/>
  <c r="P20" i="2"/>
  <c r="P15" i="6" s="1"/>
  <c r="O20" i="2"/>
  <c r="O15" i="6" s="1"/>
  <c r="N20" i="2"/>
  <c r="N15" i="6" s="1"/>
  <c r="M20" i="2"/>
  <c r="M15" i="6" s="1"/>
  <c r="L20" i="2"/>
  <c r="L15" i="6" s="1"/>
  <c r="K20" i="2"/>
  <c r="K15" i="6" s="1"/>
  <c r="J20" i="2"/>
  <c r="J15" i="6" s="1"/>
  <c r="I20" i="2"/>
  <c r="I15" i="6" s="1"/>
  <c r="H20" i="2"/>
  <c r="H15" i="6" s="1"/>
  <c r="G20" i="2"/>
  <c r="G15" i="6" s="1"/>
  <c r="F20" i="2"/>
  <c r="F15" i="6" s="1"/>
  <c r="E20" i="2"/>
  <c r="E15" i="6" s="1"/>
  <c r="D20" i="2"/>
  <c r="D15" i="6" s="1"/>
  <c r="C20" i="2"/>
  <c r="C15" i="6" s="1"/>
  <c r="R18" i="2"/>
  <c r="R11" i="6" s="1"/>
  <c r="S15" i="2"/>
  <c r="K15" i="2"/>
  <c r="C15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P7" i="2"/>
  <c r="L7" i="2"/>
  <c r="X12" i="5"/>
  <c r="V6" i="2"/>
  <c r="V12" i="5" s="1"/>
  <c r="P6" i="2"/>
  <c r="P12" i="5" s="1"/>
  <c r="N6" i="2"/>
  <c r="N12" i="5" s="1"/>
  <c r="H6" i="2"/>
  <c r="X5" i="2"/>
  <c r="W5" i="2"/>
  <c r="V5" i="2"/>
  <c r="U5" i="2"/>
  <c r="U15" i="2" s="1"/>
  <c r="T5" i="2"/>
  <c r="S5" i="2"/>
  <c r="R5" i="2"/>
  <c r="Q5" i="2"/>
  <c r="P5" i="2"/>
  <c r="O5" i="2"/>
  <c r="N5" i="2"/>
  <c r="M5" i="2"/>
  <c r="L5" i="2"/>
  <c r="K5" i="2"/>
  <c r="J5" i="2"/>
  <c r="I5" i="2"/>
  <c r="I15" i="2" s="1"/>
  <c r="H5" i="2"/>
  <c r="G5" i="2"/>
  <c r="F5" i="2"/>
  <c r="E5" i="2"/>
  <c r="D5" i="2"/>
  <c r="C5" i="2"/>
  <c r="S14" i="7" l="1"/>
  <c r="S10" i="9" s="1"/>
  <c r="S12" i="9" s="1"/>
  <c r="T14" i="7"/>
  <c r="T10" i="9" s="1"/>
  <c r="T12" i="9" s="1"/>
  <c r="U14" i="7"/>
  <c r="U10" i="9" s="1"/>
  <c r="U12" i="9" s="1"/>
  <c r="AE6" i="10"/>
  <c r="AE8" i="10" s="1"/>
  <c r="AF3" i="10" s="1"/>
  <c r="AF6" i="10" s="1"/>
  <c r="U22" i="2"/>
  <c r="U16" i="2"/>
  <c r="I22" i="2"/>
  <c r="I16" i="2"/>
  <c r="Q16" i="7"/>
  <c r="Q9" i="6"/>
  <c r="K22" i="2"/>
  <c r="K16" i="2"/>
  <c r="E17" i="7"/>
  <c r="E17" i="6"/>
  <c r="E11" i="5"/>
  <c r="E7" i="2"/>
  <c r="M17" i="7"/>
  <c r="M17" i="6"/>
  <c r="M11" i="5"/>
  <c r="M6" i="2"/>
  <c r="Q17" i="7"/>
  <c r="Q17" i="6"/>
  <c r="Q11" i="5"/>
  <c r="Q7" i="2"/>
  <c r="Q6" i="2"/>
  <c r="Q12" i="5" s="1"/>
  <c r="Q3" i="5"/>
  <c r="H12" i="5"/>
  <c r="H3" i="5"/>
  <c r="C17" i="6"/>
  <c r="C17" i="7"/>
  <c r="C11" i="5"/>
  <c r="G17" i="6"/>
  <c r="G17" i="7"/>
  <c r="G11" i="5"/>
  <c r="G7" i="2"/>
  <c r="K17" i="6"/>
  <c r="K17" i="7"/>
  <c r="K11" i="5"/>
  <c r="K6" i="2"/>
  <c r="K12" i="5" s="1"/>
  <c r="K7" i="2"/>
  <c r="O17" i="6"/>
  <c r="O17" i="7"/>
  <c r="O11" i="5"/>
  <c r="O7" i="2"/>
  <c r="O6" i="2"/>
  <c r="O12" i="5" s="1"/>
  <c r="S17" i="6"/>
  <c r="S17" i="7"/>
  <c r="S11" i="5"/>
  <c r="S6" i="2"/>
  <c r="S12" i="5" s="1"/>
  <c r="W17" i="6"/>
  <c r="W17" i="7"/>
  <c r="W11" i="5"/>
  <c r="W6" i="2"/>
  <c r="X7" i="2"/>
  <c r="L6" i="2"/>
  <c r="L12" i="5" s="1"/>
  <c r="T6" i="2"/>
  <c r="T12" i="5" s="1"/>
  <c r="J7" i="2"/>
  <c r="V7" i="2"/>
  <c r="Q15" i="2"/>
  <c r="I16" i="7"/>
  <c r="I9" i="6"/>
  <c r="C77" i="4"/>
  <c r="C78" i="4"/>
  <c r="G78" i="4"/>
  <c r="G77" i="4"/>
  <c r="K77" i="4"/>
  <c r="K78" i="4"/>
  <c r="O78" i="4"/>
  <c r="O77" i="4"/>
  <c r="S77" i="4"/>
  <c r="S78" i="4"/>
  <c r="W78" i="4"/>
  <c r="W77" i="4"/>
  <c r="Y2" i="5"/>
  <c r="M16" i="7"/>
  <c r="M9" i="6"/>
  <c r="C22" i="2"/>
  <c r="C16" i="2"/>
  <c r="E15" i="2"/>
  <c r="M15" i="2"/>
  <c r="L3" i="5"/>
  <c r="E16" i="7"/>
  <c r="E9" i="6"/>
  <c r="U16" i="7"/>
  <c r="U9" i="6"/>
  <c r="S22" i="2"/>
  <c r="S16" i="2"/>
  <c r="I17" i="7"/>
  <c r="I17" i="6"/>
  <c r="I11" i="5"/>
  <c r="I6" i="2"/>
  <c r="I12" i="5" s="1"/>
  <c r="I3" i="5"/>
  <c r="U17" i="7"/>
  <c r="U17" i="6"/>
  <c r="U11" i="5"/>
  <c r="U7" i="2"/>
  <c r="U6" i="2"/>
  <c r="U12" i="5" s="1"/>
  <c r="J6" i="2"/>
  <c r="J12" i="5" s="1"/>
  <c r="R6" i="2"/>
  <c r="F7" i="2"/>
  <c r="T7" i="2"/>
  <c r="C16" i="7"/>
  <c r="C9" i="6"/>
  <c r="C10" i="6" s="1"/>
  <c r="G16" i="7"/>
  <c r="G9" i="6"/>
  <c r="G10" i="6" s="1"/>
  <c r="K16" i="7"/>
  <c r="K9" i="6"/>
  <c r="K10" i="6" s="1"/>
  <c r="O16" i="7"/>
  <c r="O9" i="6"/>
  <c r="O10" i="6" s="1"/>
  <c r="S16" i="7"/>
  <c r="S9" i="6"/>
  <c r="S10" i="6" s="1"/>
  <c r="W16" i="7"/>
  <c r="W9" i="6"/>
  <c r="W10" i="6" s="1"/>
  <c r="G15" i="2"/>
  <c r="O15" i="2"/>
  <c r="W15" i="2"/>
  <c r="L12" i="6"/>
  <c r="T12" i="6"/>
  <c r="J78" i="4"/>
  <c r="R78" i="4"/>
  <c r="D10" i="5"/>
  <c r="L10" i="5"/>
  <c r="T10" i="5"/>
  <c r="V12" i="6"/>
  <c r="G14" i="6"/>
  <c r="O14" i="6"/>
  <c r="W14" i="6"/>
  <c r="D12" i="6"/>
  <c r="H12" i="6"/>
  <c r="P12" i="6"/>
  <c r="X12" i="6"/>
  <c r="F17" i="6"/>
  <c r="F17" i="7"/>
  <c r="F11" i="5"/>
  <c r="F10" i="5"/>
  <c r="J17" i="6"/>
  <c r="J17" i="7"/>
  <c r="J11" i="5"/>
  <c r="N17" i="6"/>
  <c r="N17" i="7"/>
  <c r="N11" i="5"/>
  <c r="R17" i="6"/>
  <c r="R17" i="7"/>
  <c r="R11" i="5"/>
  <c r="R10" i="5"/>
  <c r="V17" i="6"/>
  <c r="V17" i="7"/>
  <c r="V11" i="5"/>
  <c r="D16" i="7"/>
  <c r="D9" i="6"/>
  <c r="D10" i="6" s="1"/>
  <c r="H16" i="7"/>
  <c r="H9" i="6"/>
  <c r="L16" i="7"/>
  <c r="L9" i="6"/>
  <c r="P16" i="7"/>
  <c r="P9" i="6"/>
  <c r="T16" i="7"/>
  <c r="T9" i="6"/>
  <c r="T10" i="6" s="1"/>
  <c r="X16" i="7"/>
  <c r="X9" i="6"/>
  <c r="F15" i="2"/>
  <c r="J15" i="2"/>
  <c r="N15" i="2"/>
  <c r="R15" i="2"/>
  <c r="V15" i="2"/>
  <c r="E16" i="6"/>
  <c r="I16" i="6"/>
  <c r="I14" i="6"/>
  <c r="M16" i="6"/>
  <c r="Q16" i="6"/>
  <c r="Q14" i="6"/>
  <c r="U16" i="6"/>
  <c r="D32" i="3"/>
  <c r="H32" i="3"/>
  <c r="L32" i="3"/>
  <c r="P32" i="3"/>
  <c r="D63" i="3"/>
  <c r="L63" i="3"/>
  <c r="H77" i="4"/>
  <c r="P77" i="4"/>
  <c r="E10" i="5"/>
  <c r="I10" i="5"/>
  <c r="M10" i="5"/>
  <c r="Q10" i="5"/>
  <c r="U10" i="5"/>
  <c r="C3" i="6"/>
  <c r="G3" i="6"/>
  <c r="K3" i="6"/>
  <c r="O3" i="6"/>
  <c r="S3" i="6"/>
  <c r="W3" i="6"/>
  <c r="D5" i="6"/>
  <c r="H5" i="6"/>
  <c r="P5" i="6"/>
  <c r="T5" i="6"/>
  <c r="X5" i="6"/>
  <c r="F12" i="6"/>
  <c r="J12" i="6"/>
  <c r="N12" i="6"/>
  <c r="F16" i="6"/>
  <c r="F14" i="6"/>
  <c r="N16" i="6"/>
  <c r="N14" i="6"/>
  <c r="R20" i="2"/>
  <c r="R15" i="6" s="1"/>
  <c r="R12" i="6" s="1"/>
  <c r="E78" i="4"/>
  <c r="E77" i="4"/>
  <c r="I78" i="4"/>
  <c r="I77" i="4"/>
  <c r="M78" i="4"/>
  <c r="M77" i="4"/>
  <c r="Q78" i="4"/>
  <c r="Q77" i="4"/>
  <c r="U78" i="4"/>
  <c r="U77" i="4"/>
  <c r="F78" i="4"/>
  <c r="N78" i="4"/>
  <c r="V78" i="4"/>
  <c r="E14" i="6"/>
  <c r="M14" i="6"/>
  <c r="U14" i="6"/>
  <c r="J16" i="6"/>
  <c r="J14" i="6"/>
  <c r="V16" i="6"/>
  <c r="V14" i="6"/>
  <c r="D17" i="7"/>
  <c r="D17" i="6"/>
  <c r="D16" i="6" s="1"/>
  <c r="D11" i="5"/>
  <c r="H17" i="7"/>
  <c r="H10" i="7" s="1"/>
  <c r="H17" i="6"/>
  <c r="H16" i="6" s="1"/>
  <c r="H11" i="5"/>
  <c r="L17" i="7"/>
  <c r="L17" i="6"/>
  <c r="L16" i="6" s="1"/>
  <c r="L11" i="5"/>
  <c r="P17" i="7"/>
  <c r="P17" i="6"/>
  <c r="P16" i="6" s="1"/>
  <c r="P11" i="5"/>
  <c r="T17" i="7"/>
  <c r="T17" i="6"/>
  <c r="T16" i="6" s="1"/>
  <c r="T11" i="5"/>
  <c r="X17" i="7"/>
  <c r="X10" i="7" s="1"/>
  <c r="X17" i="6"/>
  <c r="X11" i="5"/>
  <c r="F16" i="7"/>
  <c r="F9" i="6"/>
  <c r="J16" i="7"/>
  <c r="J9" i="6"/>
  <c r="N16" i="7"/>
  <c r="N9" i="6"/>
  <c r="N5" i="6" s="1"/>
  <c r="R16" i="7"/>
  <c r="R9" i="6"/>
  <c r="V16" i="7"/>
  <c r="V9" i="6"/>
  <c r="D15" i="2"/>
  <c r="H15" i="2"/>
  <c r="L15" i="2"/>
  <c r="P15" i="2"/>
  <c r="T15" i="2"/>
  <c r="X15" i="2"/>
  <c r="C16" i="6"/>
  <c r="C14" i="6"/>
  <c r="G16" i="6"/>
  <c r="K16" i="6"/>
  <c r="K14" i="6"/>
  <c r="O16" i="6"/>
  <c r="S16" i="6"/>
  <c r="S14" i="6"/>
  <c r="W16" i="6"/>
  <c r="H63" i="3"/>
  <c r="P63" i="3"/>
  <c r="D77" i="4"/>
  <c r="L77" i="4"/>
  <c r="T77" i="4"/>
  <c r="H10" i="5"/>
  <c r="P3" i="5"/>
  <c r="X2" i="5"/>
  <c r="C10" i="5"/>
  <c r="G10" i="5"/>
  <c r="K10" i="5"/>
  <c r="O10" i="5"/>
  <c r="S10" i="5"/>
  <c r="W10" i="5"/>
  <c r="I3" i="6"/>
  <c r="Q3" i="6"/>
  <c r="F5" i="6"/>
  <c r="D8" i="6"/>
  <c r="L8" i="6"/>
  <c r="T8" i="6"/>
  <c r="C8" i="6"/>
  <c r="G8" i="6"/>
  <c r="K8" i="6"/>
  <c r="O8" i="6"/>
  <c r="S8" i="6"/>
  <c r="W8" i="6"/>
  <c r="D14" i="6"/>
  <c r="H14" i="6"/>
  <c r="L14" i="6"/>
  <c r="P14" i="6"/>
  <c r="T14" i="6"/>
  <c r="C12" i="6"/>
  <c r="G12" i="6"/>
  <c r="K12" i="6"/>
  <c r="O12" i="6"/>
  <c r="S12" i="6"/>
  <c r="W12" i="6"/>
  <c r="D20" i="7"/>
  <c r="H20" i="7"/>
  <c r="L20" i="7"/>
  <c r="P20" i="7"/>
  <c r="T20" i="7"/>
  <c r="T3" i="9" s="1"/>
  <c r="X20" i="7"/>
  <c r="F21" i="7"/>
  <c r="J21" i="7"/>
  <c r="N21" i="7"/>
  <c r="R21" i="7"/>
  <c r="V21" i="7"/>
  <c r="V4" i="9" s="1"/>
  <c r="E8" i="7"/>
  <c r="I8" i="7"/>
  <c r="M8" i="7"/>
  <c r="Q8" i="7"/>
  <c r="U8" i="7"/>
  <c r="D10" i="7"/>
  <c r="L10" i="7"/>
  <c r="P10" i="7"/>
  <c r="T10" i="7"/>
  <c r="D3" i="6"/>
  <c r="H3" i="6"/>
  <c r="L3" i="6"/>
  <c r="P3" i="6"/>
  <c r="T3" i="6"/>
  <c r="C5" i="6"/>
  <c r="G5" i="6"/>
  <c r="K5" i="6"/>
  <c r="O5" i="6"/>
  <c r="S5" i="6"/>
  <c r="W5" i="6"/>
  <c r="E12" i="6"/>
  <c r="I12" i="6"/>
  <c r="M12" i="6"/>
  <c r="Q12" i="6"/>
  <c r="U12" i="6"/>
  <c r="F20" i="7"/>
  <c r="J20" i="7"/>
  <c r="N20" i="7"/>
  <c r="R20" i="7"/>
  <c r="V20" i="7"/>
  <c r="V3" i="9" s="1"/>
  <c r="D21" i="7"/>
  <c r="H21" i="7"/>
  <c r="L21" i="7"/>
  <c r="P21" i="7"/>
  <c r="T21" i="7"/>
  <c r="T4" i="9" s="1"/>
  <c r="X21" i="7"/>
  <c r="C8" i="7"/>
  <c r="G8" i="7"/>
  <c r="K8" i="7"/>
  <c r="O8" i="7"/>
  <c r="S8" i="7"/>
  <c r="W8" i="7"/>
  <c r="F10" i="7"/>
  <c r="J10" i="7"/>
  <c r="N10" i="7"/>
  <c r="R10" i="7"/>
  <c r="V10" i="7"/>
  <c r="X3" i="6"/>
  <c r="X14" i="6"/>
  <c r="C20" i="7"/>
  <c r="G20" i="7"/>
  <c r="K20" i="7"/>
  <c r="O20" i="7"/>
  <c r="S20" i="7"/>
  <c r="S3" i="9" s="1"/>
  <c r="W20" i="7"/>
  <c r="E21" i="7"/>
  <c r="I21" i="7"/>
  <c r="M21" i="7"/>
  <c r="Q21" i="7"/>
  <c r="U21" i="7"/>
  <c r="U4" i="9" s="1"/>
  <c r="D8" i="7"/>
  <c r="H8" i="7"/>
  <c r="L8" i="7"/>
  <c r="P8" i="7"/>
  <c r="T8" i="7"/>
  <c r="X8" i="7"/>
  <c r="C10" i="7"/>
  <c r="G10" i="7"/>
  <c r="K10" i="7"/>
  <c r="O10" i="7"/>
  <c r="S10" i="7"/>
  <c r="W10" i="7"/>
  <c r="F12" i="7"/>
  <c r="J12" i="7"/>
  <c r="N12" i="7"/>
  <c r="R12" i="7"/>
  <c r="V12" i="7"/>
  <c r="E20" i="7"/>
  <c r="I20" i="7"/>
  <c r="M20" i="7"/>
  <c r="AB20" i="7" s="1"/>
  <c r="Q20" i="7"/>
  <c r="U20" i="7"/>
  <c r="U3" i="9" s="1"/>
  <c r="U5" i="9" s="1"/>
  <c r="U8" i="9" s="1"/>
  <c r="C21" i="7"/>
  <c r="G21" i="7"/>
  <c r="K21" i="7"/>
  <c r="O21" i="7"/>
  <c r="S21" i="7"/>
  <c r="S4" i="9" s="1"/>
  <c r="W21" i="7"/>
  <c r="F8" i="7"/>
  <c r="J8" i="7"/>
  <c r="N8" i="7"/>
  <c r="R8" i="7"/>
  <c r="V8" i="7"/>
  <c r="E10" i="7"/>
  <c r="I10" i="7"/>
  <c r="M10" i="7"/>
  <c r="Q10" i="7"/>
  <c r="U10" i="7"/>
  <c r="C12" i="7"/>
  <c r="G12" i="7"/>
  <c r="K12" i="7"/>
  <c r="O12" i="7"/>
  <c r="S12" i="7"/>
  <c r="W12" i="7"/>
  <c r="F14" i="7"/>
  <c r="J14" i="7"/>
  <c r="N14" i="7"/>
  <c r="R14" i="7"/>
  <c r="V14" i="7"/>
  <c r="V10" i="9" s="1"/>
  <c r="V12" i="9" s="1"/>
  <c r="Z14" i="7"/>
  <c r="D12" i="7"/>
  <c r="H12" i="7"/>
  <c r="L12" i="7"/>
  <c r="P12" i="7"/>
  <c r="T12" i="7"/>
  <c r="X12" i="7"/>
  <c r="E12" i="7"/>
  <c r="I12" i="7"/>
  <c r="M12" i="7"/>
  <c r="Q12" i="7"/>
  <c r="U12" i="7"/>
  <c r="AA13" i="9" l="1"/>
  <c r="AA7" i="14" s="1"/>
  <c r="AA8" i="14" s="1"/>
  <c r="V13" i="9"/>
  <c r="V7" i="14" s="1"/>
  <c r="V8" i="14" s="1"/>
  <c r="Z13" i="9"/>
  <c r="Z7" i="14" s="1"/>
  <c r="Z8" i="14" s="1"/>
  <c r="U13" i="9"/>
  <c r="U7" i="14" s="1"/>
  <c r="U8" i="14" s="1"/>
  <c r="T13" i="9"/>
  <c r="T7" i="14" s="1"/>
  <c r="T8" i="14" s="1"/>
  <c r="Y13" i="9"/>
  <c r="Y7" i="14" s="1"/>
  <c r="Y8" i="14" s="1"/>
  <c r="S5" i="9"/>
  <c r="S8" i="9" s="1"/>
  <c r="V5" i="9"/>
  <c r="V8" i="9" s="1"/>
  <c r="T5" i="9"/>
  <c r="T8" i="9" s="1"/>
  <c r="X13" i="9"/>
  <c r="X7" i="14" s="1"/>
  <c r="X8" i="14" s="1"/>
  <c r="S13" i="9"/>
  <c r="S7" i="14" s="1"/>
  <c r="S8" i="14" s="1"/>
  <c r="AF8" i="10"/>
  <c r="T22" i="2"/>
  <c r="T16" i="2"/>
  <c r="D22" i="2"/>
  <c r="D16" i="2"/>
  <c r="N16" i="2"/>
  <c r="N22" i="2"/>
  <c r="P10" i="5"/>
  <c r="G22" i="2"/>
  <c r="G16" i="2"/>
  <c r="E8" i="6"/>
  <c r="E5" i="6"/>
  <c r="E10" i="6"/>
  <c r="E3" i="6"/>
  <c r="M22" i="2"/>
  <c r="M16" i="2"/>
  <c r="M8" i="6"/>
  <c r="M5" i="6"/>
  <c r="M10" i="6"/>
  <c r="M3" i="6"/>
  <c r="I8" i="6"/>
  <c r="I5" i="6"/>
  <c r="I10" i="6"/>
  <c r="O3" i="5"/>
  <c r="P22" i="2"/>
  <c r="P16" i="2"/>
  <c r="V3" i="6"/>
  <c r="V10" i="6"/>
  <c r="N3" i="6"/>
  <c r="N10" i="6"/>
  <c r="F3" i="6"/>
  <c r="F10" i="6"/>
  <c r="R16" i="6"/>
  <c r="R14" i="6"/>
  <c r="V8" i="6"/>
  <c r="J16" i="2"/>
  <c r="J22" i="2"/>
  <c r="L10" i="6"/>
  <c r="X16" i="6"/>
  <c r="S28" i="2"/>
  <c r="S23" i="2"/>
  <c r="E22" i="2"/>
  <c r="E16" i="2"/>
  <c r="Q22" i="2"/>
  <c r="Q16" i="2"/>
  <c r="K28" i="2"/>
  <c r="K23" i="2"/>
  <c r="I23" i="2"/>
  <c r="I28" i="2"/>
  <c r="X3" i="5"/>
  <c r="L22" i="2"/>
  <c r="L16" i="2"/>
  <c r="N8" i="6"/>
  <c r="V16" i="2"/>
  <c r="V22" i="2"/>
  <c r="F16" i="2"/>
  <c r="F22" i="2"/>
  <c r="X10" i="5"/>
  <c r="W22" i="2"/>
  <c r="W16" i="2"/>
  <c r="U3" i="5"/>
  <c r="Z2" i="5"/>
  <c r="U8" i="6"/>
  <c r="U5" i="6"/>
  <c r="U10" i="6"/>
  <c r="U3" i="6"/>
  <c r="Y9" i="5"/>
  <c r="Y3" i="2"/>
  <c r="S3" i="5"/>
  <c r="K3" i="5"/>
  <c r="M12" i="5"/>
  <c r="M3" i="5"/>
  <c r="Q8" i="6"/>
  <c r="Q5" i="6"/>
  <c r="Q10" i="6"/>
  <c r="V5" i="6"/>
  <c r="X22" i="2"/>
  <c r="X16" i="2"/>
  <c r="H22" i="2"/>
  <c r="H16" i="2"/>
  <c r="R3" i="6"/>
  <c r="R10" i="6"/>
  <c r="R8" i="6"/>
  <c r="R5" i="6"/>
  <c r="J3" i="6"/>
  <c r="J10" i="6"/>
  <c r="J8" i="6"/>
  <c r="J5" i="6"/>
  <c r="F8" i="6"/>
  <c r="L5" i="6"/>
  <c r="R16" i="2"/>
  <c r="R22" i="2"/>
  <c r="X10" i="6"/>
  <c r="X8" i="6"/>
  <c r="P10" i="6"/>
  <c r="P8" i="6"/>
  <c r="H10" i="6"/>
  <c r="H8" i="6"/>
  <c r="V3" i="5"/>
  <c r="AA2" i="5"/>
  <c r="V10" i="5"/>
  <c r="N3" i="5"/>
  <c r="N10" i="5"/>
  <c r="J3" i="5"/>
  <c r="J10" i="5"/>
  <c r="O22" i="2"/>
  <c r="O16" i="2"/>
  <c r="R3" i="5"/>
  <c r="R12" i="5"/>
  <c r="C28" i="2"/>
  <c r="C23" i="2"/>
  <c r="T3" i="5"/>
  <c r="W12" i="5"/>
  <c r="W3" i="5"/>
  <c r="U28" i="2"/>
  <c r="U23" i="2"/>
  <c r="U35" i="2" l="1"/>
  <c r="U29" i="2"/>
  <c r="U34" i="2"/>
  <c r="AA9" i="5"/>
  <c r="AA4" i="2" s="1"/>
  <c r="AA18" i="7" s="1"/>
  <c r="AA5" i="7" s="1"/>
  <c r="AA3" i="2"/>
  <c r="X28" i="2"/>
  <c r="X23" i="2"/>
  <c r="Z9" i="5"/>
  <c r="Z4" i="2" s="1"/>
  <c r="Z18" i="7" s="1"/>
  <c r="Z5" i="7" s="1"/>
  <c r="Z3" i="2"/>
  <c r="R28" i="2"/>
  <c r="R23" i="2"/>
  <c r="F28" i="2"/>
  <c r="F23" i="2"/>
  <c r="AB2" i="5"/>
  <c r="K34" i="2"/>
  <c r="K35" i="2"/>
  <c r="K29" i="2"/>
  <c r="E28" i="2"/>
  <c r="E23" i="2"/>
  <c r="M28" i="2"/>
  <c r="M23" i="2"/>
  <c r="N23" i="2"/>
  <c r="N28" i="2"/>
  <c r="D28" i="2"/>
  <c r="D23" i="2"/>
  <c r="O28" i="2"/>
  <c r="O23" i="2"/>
  <c r="H28" i="2"/>
  <c r="H23" i="2"/>
  <c r="Y4" i="2"/>
  <c r="Y18" i="7" s="1"/>
  <c r="Y5" i="7" s="1"/>
  <c r="I35" i="2"/>
  <c r="I29" i="2"/>
  <c r="I34" i="2"/>
  <c r="J23" i="2"/>
  <c r="J28" i="2"/>
  <c r="P28" i="2"/>
  <c r="P23" i="2"/>
  <c r="C34" i="2"/>
  <c r="C35" i="2"/>
  <c r="C29" i="2"/>
  <c r="Y11" i="5"/>
  <c r="W28" i="2"/>
  <c r="W23" i="2"/>
  <c r="V28" i="2"/>
  <c r="V23" i="2"/>
  <c r="L28" i="2"/>
  <c r="L23" i="2"/>
  <c r="Q28" i="2"/>
  <c r="Q23" i="2"/>
  <c r="S34" i="2"/>
  <c r="S35" i="2"/>
  <c r="S29" i="2"/>
  <c r="G28" i="2"/>
  <c r="G23" i="2"/>
  <c r="T28" i="2"/>
  <c r="T23" i="2"/>
  <c r="AB9" i="5" l="1"/>
  <c r="AB4" i="2" s="1"/>
  <c r="AB18" i="7" s="1"/>
  <c r="AB4" i="7" s="1"/>
  <c r="Z11" i="5"/>
  <c r="AA11" i="5"/>
  <c r="AB11" i="5"/>
  <c r="AB3" i="5"/>
  <c r="AB3" i="2"/>
  <c r="AB9" i="2" s="1"/>
  <c r="P35" i="2"/>
  <c r="P34" i="2"/>
  <c r="P29" i="2"/>
  <c r="R29" i="2"/>
  <c r="R35" i="2"/>
  <c r="R34" i="2"/>
  <c r="G34" i="2"/>
  <c r="G29" i="2"/>
  <c r="G35" i="2"/>
  <c r="Y12" i="5"/>
  <c r="Y5" i="2"/>
  <c r="Y20" i="8" s="1"/>
  <c r="I41" i="2"/>
  <c r="I38" i="2"/>
  <c r="I40" i="2" s="1"/>
  <c r="I37" i="2"/>
  <c r="O34" i="2"/>
  <c r="O35" i="2"/>
  <c r="O29" i="2"/>
  <c r="E35" i="2"/>
  <c r="E29" i="2"/>
  <c r="E34" i="2"/>
  <c r="Z12" i="5"/>
  <c r="Z5" i="2"/>
  <c r="Z20" i="8" s="1"/>
  <c r="AA12" i="5"/>
  <c r="AA5" i="2"/>
  <c r="AA20" i="8" s="1"/>
  <c r="Q35" i="2"/>
  <c r="Q29" i="2"/>
  <c r="Q34" i="2"/>
  <c r="V35" i="2"/>
  <c r="V34" i="2"/>
  <c r="V29" i="2"/>
  <c r="T35" i="2"/>
  <c r="T34" i="2"/>
  <c r="T29" i="2"/>
  <c r="J35" i="2"/>
  <c r="J34" i="2"/>
  <c r="J29" i="2"/>
  <c r="H35" i="2"/>
  <c r="H34" i="2"/>
  <c r="H29" i="2"/>
  <c r="D35" i="2"/>
  <c r="D34" i="2"/>
  <c r="D29" i="2"/>
  <c r="M35" i="2"/>
  <c r="M29" i="2"/>
  <c r="M34" i="2"/>
  <c r="F35" i="2"/>
  <c r="F34" i="2"/>
  <c r="F29" i="2"/>
  <c r="Z9" i="2"/>
  <c r="X35" i="2"/>
  <c r="X34" i="2"/>
  <c r="X29" i="2"/>
  <c r="U38" i="2"/>
  <c r="U40" i="2" s="1"/>
  <c r="U41" i="2"/>
  <c r="U37" i="2"/>
  <c r="S41" i="2"/>
  <c r="S38" i="2"/>
  <c r="S40" i="2" s="1"/>
  <c r="S37" i="2"/>
  <c r="L34" i="2"/>
  <c r="L29" i="2"/>
  <c r="L35" i="2"/>
  <c r="W34" i="2"/>
  <c r="W29" i="2"/>
  <c r="W35" i="2"/>
  <c r="C41" i="2"/>
  <c r="C38" i="2"/>
  <c r="C40" i="2" s="1"/>
  <c r="C37" i="2"/>
  <c r="N35" i="2"/>
  <c r="N34" i="2"/>
  <c r="N29" i="2"/>
  <c r="K41" i="2"/>
  <c r="K38" i="2"/>
  <c r="K40" i="2" s="1"/>
  <c r="K37" i="2"/>
  <c r="Y9" i="2"/>
  <c r="AA9" i="2"/>
  <c r="T41" i="2" l="1"/>
  <c r="T38" i="2"/>
  <c r="T40" i="2" s="1"/>
  <c r="T37" i="2"/>
  <c r="AA17" i="6"/>
  <c r="AA17" i="7"/>
  <c r="E41" i="2"/>
  <c r="E38" i="2"/>
  <c r="E40" i="2" s="1"/>
  <c r="E37" i="2"/>
  <c r="X41" i="2"/>
  <c r="X38" i="2"/>
  <c r="X40" i="2" s="1"/>
  <c r="X37" i="2"/>
  <c r="J38" i="2"/>
  <c r="J40" i="2" s="1"/>
  <c r="J41" i="2"/>
  <c r="J37" i="2"/>
  <c r="Q41" i="2"/>
  <c r="Q38" i="2"/>
  <c r="Q40" i="2" s="1"/>
  <c r="Q37" i="2"/>
  <c r="O41" i="2"/>
  <c r="O38" i="2"/>
  <c r="O40" i="2" s="1"/>
  <c r="O37" i="2"/>
  <c r="Y17" i="7"/>
  <c r="Y17" i="6"/>
  <c r="G41" i="2"/>
  <c r="G38" i="2"/>
  <c r="G40" i="2" s="1"/>
  <c r="G37" i="2"/>
  <c r="AC9" i="5"/>
  <c r="AC4" i="2" s="1"/>
  <c r="AC18" i="7" s="1"/>
  <c r="AC4" i="7" s="1"/>
  <c r="AD2" i="5"/>
  <c r="AC3" i="2"/>
  <c r="F41" i="2"/>
  <c r="F38" i="2"/>
  <c r="F40" i="2" s="1"/>
  <c r="F37" i="2"/>
  <c r="Z17" i="6"/>
  <c r="Z17" i="7"/>
  <c r="R41" i="2"/>
  <c r="R38" i="2"/>
  <c r="R37" i="2"/>
  <c r="P41" i="2"/>
  <c r="P38" i="2"/>
  <c r="P40" i="2" s="1"/>
  <c r="P37" i="2"/>
  <c r="L41" i="2"/>
  <c r="L38" i="2"/>
  <c r="L40" i="2" s="1"/>
  <c r="L37" i="2"/>
  <c r="W41" i="2"/>
  <c r="W38" i="2"/>
  <c r="W37" i="2"/>
  <c r="H41" i="2"/>
  <c r="H38" i="2"/>
  <c r="H37" i="2"/>
  <c r="N41" i="2"/>
  <c r="N38" i="2"/>
  <c r="N40" i="2" s="1"/>
  <c r="N37" i="2"/>
  <c r="M41" i="2"/>
  <c r="M38" i="2"/>
  <c r="M37" i="2"/>
  <c r="D41" i="2"/>
  <c r="D38" i="2"/>
  <c r="D40" i="2" s="1"/>
  <c r="D37" i="2"/>
  <c r="V41" i="2"/>
  <c r="V38" i="2"/>
  <c r="V40" i="2" s="1"/>
  <c r="V37" i="2"/>
  <c r="AB12" i="5"/>
  <c r="AB5" i="2"/>
  <c r="AB20" i="8" s="1"/>
  <c r="AC11" i="5" l="1"/>
  <c r="AC9" i="2"/>
  <c r="AB17" i="7"/>
  <c r="W40" i="2"/>
  <c r="W39" i="2"/>
  <c r="Z10" i="7"/>
  <c r="Z8" i="7"/>
  <c r="Z21" i="7"/>
  <c r="Z4" i="9" s="1"/>
  <c r="Z12" i="7"/>
  <c r="AC5" i="2"/>
  <c r="AC20" i="8" s="1"/>
  <c r="AA15" i="6"/>
  <c r="AA9" i="6"/>
  <c r="H39" i="2"/>
  <c r="H40" i="2"/>
  <c r="R39" i="2"/>
  <c r="R40" i="2"/>
  <c r="Z9" i="6"/>
  <c r="Z15" i="6"/>
  <c r="Y15" i="6"/>
  <c r="Y9" i="6"/>
  <c r="AB17" i="6"/>
  <c r="AD9" i="5"/>
  <c r="AD4" i="2" s="1"/>
  <c r="AD18" i="7" s="1"/>
  <c r="AD4" i="7" s="1"/>
  <c r="AE2" i="5"/>
  <c r="AD3" i="2"/>
  <c r="Y21" i="7"/>
  <c r="Y4" i="9" s="1"/>
  <c r="Y10" i="7"/>
  <c r="Y8" i="7"/>
  <c r="Y12" i="7"/>
  <c r="M40" i="2"/>
  <c r="M39" i="2"/>
  <c r="AA21" i="7"/>
  <c r="AA4" i="9" s="1"/>
  <c r="AA10" i="7"/>
  <c r="AA8" i="7"/>
  <c r="AA12" i="7"/>
  <c r="AD11" i="5" l="1"/>
  <c r="AE9" i="5"/>
  <c r="AE4" i="2" s="1"/>
  <c r="AE18" i="7" s="1"/>
  <c r="AE4" i="7" s="1"/>
  <c r="AF2" i="5"/>
  <c r="AE3" i="2"/>
  <c r="Y7" i="6"/>
  <c r="Y4" i="6"/>
  <c r="Y2" i="6"/>
  <c r="Y14" i="2"/>
  <c r="Y19" i="8" s="1"/>
  <c r="AB9" i="6"/>
  <c r="AB14" i="2" s="1"/>
  <c r="AB19" i="8" s="1"/>
  <c r="AA7" i="6"/>
  <c r="AA13" i="2" s="1"/>
  <c r="AA4" i="6"/>
  <c r="AA11" i="2" s="1"/>
  <c r="AA2" i="6"/>
  <c r="AA10" i="2" s="1"/>
  <c r="AA14" i="2"/>
  <c r="AA19" i="8" s="1"/>
  <c r="Y11" i="6"/>
  <c r="Y13" i="6"/>
  <c r="Y20" i="2"/>
  <c r="AB15" i="6"/>
  <c r="AB20" i="2" s="1"/>
  <c r="AA11" i="6"/>
  <c r="AA18" i="2" s="1"/>
  <c r="AA13" i="6"/>
  <c r="AA19" i="2" s="1"/>
  <c r="AA20" i="2"/>
  <c r="Z13" i="6"/>
  <c r="Z19" i="2" s="1"/>
  <c r="Z11" i="6"/>
  <c r="Z18" i="2" s="1"/>
  <c r="Z20" i="2"/>
  <c r="AC17" i="7"/>
  <c r="AC17" i="6"/>
  <c r="AD9" i="2"/>
  <c r="Z2" i="6"/>
  <c r="Z10" i="2" s="1"/>
  <c r="Z7" i="6"/>
  <c r="Z13" i="2" s="1"/>
  <c r="Z4" i="6"/>
  <c r="Z11" i="2" s="1"/>
  <c r="Z14" i="2"/>
  <c r="Z19" i="8" s="1"/>
  <c r="AB11" i="7"/>
  <c r="AB6" i="7"/>
  <c r="AB7" i="7"/>
  <c r="AB9" i="7"/>
  <c r="AB14" i="8" l="1"/>
  <c r="AB5" i="8"/>
  <c r="AB12" i="8"/>
  <c r="AB3" i="8"/>
  <c r="AB10" i="8"/>
  <c r="AB8" i="8"/>
  <c r="Y6" i="6"/>
  <c r="Y12" i="2"/>
  <c r="AC15" i="6"/>
  <c r="AC9" i="6"/>
  <c r="AA16" i="7"/>
  <c r="AA20" i="7" s="1"/>
  <c r="AA3" i="9" s="1"/>
  <c r="AA5" i="9" s="1"/>
  <c r="AA8" i="9" s="1"/>
  <c r="AA15" i="2"/>
  <c r="AF9" i="5"/>
  <c r="AF4" i="2" s="1"/>
  <c r="AF18" i="7" s="1"/>
  <c r="AF4" i="7" s="1"/>
  <c r="AF3" i="2"/>
  <c r="AF9" i="2" s="1"/>
  <c r="Z16" i="7"/>
  <c r="Z20" i="7" s="1"/>
  <c r="Z3" i="9" s="1"/>
  <c r="Z5" i="9" s="1"/>
  <c r="Z8" i="9" s="1"/>
  <c r="Z15" i="2"/>
  <c r="AB16" i="7"/>
  <c r="AB2" i="7" s="1"/>
  <c r="AB14" i="7" s="1"/>
  <c r="AB10" i="9" s="1"/>
  <c r="AB15" i="2"/>
  <c r="Y11" i="2"/>
  <c r="AB4" i="6"/>
  <c r="AB11" i="2" s="1"/>
  <c r="AC7" i="7"/>
  <c r="AC9" i="7"/>
  <c r="AC11" i="7"/>
  <c r="AC6" i="7"/>
  <c r="Y19" i="2"/>
  <c r="AB13" i="6"/>
  <c r="AB19" i="2" s="1"/>
  <c r="AA6" i="6"/>
  <c r="AA12" i="2" s="1"/>
  <c r="Y16" i="7"/>
  <c r="Y20" i="7" s="1"/>
  <c r="Y3" i="9" s="1"/>
  <c r="Y5" i="9" s="1"/>
  <c r="Y8" i="9" s="1"/>
  <c r="Y15" i="2"/>
  <c r="Y13" i="2"/>
  <c r="AB7" i="6"/>
  <c r="AB13" i="2" s="1"/>
  <c r="AE11" i="5"/>
  <c r="Z6" i="6"/>
  <c r="Z12" i="2" s="1"/>
  <c r="AB11" i="6"/>
  <c r="AB18" i="2" s="1"/>
  <c r="Y18" i="2"/>
  <c r="Y10" i="2"/>
  <c r="AB2" i="6"/>
  <c r="AB10" i="2" s="1"/>
  <c r="AE9" i="2"/>
  <c r="AD12" i="5"/>
  <c r="AD5" i="2"/>
  <c r="AD20" i="8" s="1"/>
  <c r="AF11" i="5" l="1"/>
  <c r="AB16" i="8"/>
  <c r="AB11" i="9" s="1"/>
  <c r="AB12" i="9" s="1"/>
  <c r="AB13" i="9" s="1"/>
  <c r="AB7" i="14" s="1"/>
  <c r="AD17" i="6"/>
  <c r="AD17" i="7"/>
  <c r="AE12" i="5"/>
  <c r="AE5" i="2"/>
  <c r="AE20" i="8" s="1"/>
  <c r="Z16" i="2"/>
  <c r="AF12" i="5"/>
  <c r="AF5" i="2"/>
  <c r="AF20" i="8" s="1"/>
  <c r="AC18" i="2"/>
  <c r="AC13" i="6"/>
  <c r="AC19" i="2" s="1"/>
  <c r="AC20" i="2"/>
  <c r="AA16" i="2"/>
  <c r="AB22" i="2"/>
  <c r="AB16" i="2"/>
  <c r="AB6" i="6"/>
  <c r="AB12" i="2" s="1"/>
  <c r="Y16" i="2"/>
  <c r="AC7" i="6"/>
  <c r="AC13" i="2" s="1"/>
  <c r="AC4" i="6"/>
  <c r="AC11" i="2" s="1"/>
  <c r="AC2" i="6"/>
  <c r="AC10" i="2" s="1"/>
  <c r="AC14" i="2"/>
  <c r="AC19" i="8" s="1"/>
  <c r="AB23" i="2" l="1"/>
  <c r="AB28" i="2"/>
  <c r="AC14" i="8"/>
  <c r="AC5" i="8"/>
  <c r="AC12" i="8"/>
  <c r="AC3" i="8"/>
  <c r="AC10" i="8"/>
  <c r="AC8" i="8"/>
  <c r="AD7" i="7"/>
  <c r="AD9" i="7"/>
  <c r="AD11" i="7"/>
  <c r="AD6" i="7"/>
  <c r="AC6" i="6"/>
  <c r="AC12" i="2" s="1"/>
  <c r="AC16" i="7"/>
  <c r="AC2" i="7" s="1"/>
  <c r="AC14" i="7" s="1"/>
  <c r="AC10" i="9" s="1"/>
  <c r="AC15" i="2"/>
  <c r="AF17" i="7"/>
  <c r="AF17" i="6"/>
  <c r="AE17" i="6"/>
  <c r="AE17" i="7"/>
  <c r="AD15" i="6"/>
  <c r="AD9" i="6"/>
  <c r="AB29" i="2" l="1"/>
  <c r="AB35" i="2"/>
  <c r="AB34" i="2"/>
  <c r="AC16" i="8"/>
  <c r="AC11" i="9" s="1"/>
  <c r="AC12" i="9" s="1"/>
  <c r="AC13" i="9" s="1"/>
  <c r="AC7" i="14" s="1"/>
  <c r="AF11" i="7"/>
  <c r="AF6" i="7"/>
  <c r="AF7" i="7"/>
  <c r="AF9" i="7"/>
  <c r="AD2" i="6"/>
  <c r="AD10" i="2" s="1"/>
  <c r="AD4" i="6"/>
  <c r="AD11" i="2" s="1"/>
  <c r="AD7" i="6"/>
  <c r="AD13" i="2" s="1"/>
  <c r="AD14" i="2"/>
  <c r="AD19" i="8" s="1"/>
  <c r="AE9" i="7"/>
  <c r="AE11" i="7"/>
  <c r="AE6" i="7"/>
  <c r="AE7" i="7"/>
  <c r="AE15" i="6"/>
  <c r="AE9" i="6"/>
  <c r="AC22" i="2"/>
  <c r="AC16" i="2"/>
  <c r="AD13" i="6"/>
  <c r="AD19" i="2" s="1"/>
  <c r="AD11" i="6"/>
  <c r="AD18" i="2" s="1"/>
  <c r="AD20" i="2"/>
  <c r="AF15" i="6"/>
  <c r="AF9" i="6"/>
  <c r="AC23" i="2" l="1"/>
  <c r="AC28" i="2"/>
  <c r="AB36" i="2"/>
  <c r="AB38" i="2" s="1"/>
  <c r="AB20" i="16" s="1"/>
  <c r="AB24" i="16" s="1"/>
  <c r="AD8" i="8"/>
  <c r="AD14" i="8"/>
  <c r="AD16" i="8" s="1"/>
  <c r="AD11" i="9" s="1"/>
  <c r="AD5" i="8"/>
  <c r="AD12" i="8"/>
  <c r="AD3" i="8"/>
  <c r="AD10" i="8"/>
  <c r="AE7" i="6"/>
  <c r="AE13" i="2" s="1"/>
  <c r="AE4" i="6"/>
  <c r="AE11" i="2" s="1"/>
  <c r="AE2" i="6"/>
  <c r="AE10" i="2" s="1"/>
  <c r="AE14" i="2"/>
  <c r="AE19" i="8" s="1"/>
  <c r="AF2" i="6"/>
  <c r="AF10" i="2" s="1"/>
  <c r="AF7" i="6"/>
  <c r="AF13" i="2" s="1"/>
  <c r="AF4" i="6"/>
  <c r="AF11" i="2" s="1"/>
  <c r="AF14" i="2"/>
  <c r="AF19" i="8" s="1"/>
  <c r="AE11" i="6"/>
  <c r="AE18" i="2" s="1"/>
  <c r="AE13" i="6"/>
  <c r="AE19" i="2" s="1"/>
  <c r="AE20" i="2"/>
  <c r="AF13" i="6"/>
  <c r="AF19" i="2" s="1"/>
  <c r="AF11" i="6"/>
  <c r="AF18" i="2" s="1"/>
  <c r="AF20" i="2"/>
  <c r="AD16" i="7"/>
  <c r="AD2" i="7" s="1"/>
  <c r="AD14" i="7" s="1"/>
  <c r="AD10" i="9" s="1"/>
  <c r="AD12" i="9" s="1"/>
  <c r="AD13" i="9" s="1"/>
  <c r="AD7" i="14" s="1"/>
  <c r="AD15" i="2"/>
  <c r="AD6" i="6"/>
  <c r="AD12" i="2" s="1"/>
  <c r="AB41" i="2" l="1"/>
  <c r="AE6" i="6"/>
  <c r="AE12" i="2" s="1"/>
  <c r="AC29" i="2"/>
  <c r="AC35" i="2"/>
  <c r="AC34" i="2"/>
  <c r="AB40" i="2"/>
  <c r="AB15" i="13"/>
  <c r="AB3" i="14"/>
  <c r="AB8" i="14" s="1"/>
  <c r="AB3" i="16" s="1"/>
  <c r="AB10" i="16" s="1"/>
  <c r="AF12" i="8"/>
  <c r="AF3" i="8"/>
  <c r="AF10" i="8"/>
  <c r="AF8" i="8"/>
  <c r="AF14" i="8"/>
  <c r="AF5" i="8"/>
  <c r="AE10" i="8"/>
  <c r="AE8" i="8"/>
  <c r="AE14" i="8"/>
  <c r="AE5" i="8"/>
  <c r="AE12" i="8"/>
  <c r="AE3" i="8"/>
  <c r="AB39" i="2"/>
  <c r="AF6" i="6"/>
  <c r="AF12" i="2" s="1"/>
  <c r="AD16" i="2"/>
  <c r="AD22" i="2"/>
  <c r="AF16" i="7"/>
  <c r="AF2" i="7" s="1"/>
  <c r="AF14" i="7" s="1"/>
  <c r="AF10" i="9" s="1"/>
  <c r="AF15" i="2"/>
  <c r="AE16" i="7"/>
  <c r="AE2" i="7" s="1"/>
  <c r="AE14" i="7" s="1"/>
  <c r="AE10" i="9" s="1"/>
  <c r="AE15" i="2"/>
  <c r="AC36" i="2" l="1"/>
  <c r="AC41" i="2" s="1"/>
  <c r="AC38" i="2"/>
  <c r="AD23" i="2"/>
  <c r="AD28" i="2"/>
  <c r="AB14" i="13"/>
  <c r="AB10" i="13" s="1"/>
  <c r="AB12" i="13" s="1"/>
  <c r="AE16" i="8"/>
  <c r="AE11" i="9" s="1"/>
  <c r="AE12" i="9" s="1"/>
  <c r="AE13" i="9" s="1"/>
  <c r="AE7" i="14" s="1"/>
  <c r="AF16" i="8"/>
  <c r="AF11" i="9" s="1"/>
  <c r="AF12" i="9" s="1"/>
  <c r="AF13" i="9" s="1"/>
  <c r="AF7" i="14" s="1"/>
  <c r="AE22" i="2"/>
  <c r="AE16" i="2"/>
  <c r="AF22" i="2"/>
  <c r="AF16" i="2"/>
  <c r="AC9" i="13" l="1"/>
  <c r="AB4" i="13"/>
  <c r="AE23" i="2"/>
  <c r="AE28" i="2"/>
  <c r="AC24" i="16"/>
  <c r="AC40" i="2"/>
  <c r="AC15" i="13"/>
  <c r="AC39" i="2"/>
  <c r="AC3" i="14"/>
  <c r="AC8" i="14" s="1"/>
  <c r="AC3" i="16" s="1"/>
  <c r="AC10" i="16" s="1"/>
  <c r="AF23" i="2"/>
  <c r="AF28" i="2"/>
  <c r="AD35" i="2"/>
  <c r="AD34" i="2"/>
  <c r="AD29" i="2"/>
  <c r="AE35" i="2" l="1"/>
  <c r="AE34" i="2"/>
  <c r="AE29" i="2"/>
  <c r="AF29" i="2"/>
  <c r="AF35" i="2"/>
  <c r="AF34" i="2"/>
  <c r="AD38" i="2"/>
  <c r="AD41" i="2"/>
  <c r="AD36" i="2"/>
  <c r="AC14" i="13"/>
  <c r="AC10" i="13" s="1"/>
  <c r="AC12" i="13" s="1"/>
  <c r="AB5" i="13"/>
  <c r="Y37" i="3"/>
  <c r="AD9" i="13" l="1"/>
  <c r="AC4" i="13"/>
  <c r="AB7" i="13"/>
  <c r="Y40" i="3" s="1"/>
  <c r="Y38" i="3"/>
  <c r="AD24" i="16"/>
  <c r="AD40" i="2"/>
  <c r="AD15" i="13"/>
  <c r="AD3" i="14"/>
  <c r="AD8" i="14" s="1"/>
  <c r="AD3" i="16" s="1"/>
  <c r="AD10" i="16" s="1"/>
  <c r="AF36" i="2"/>
  <c r="AF41" i="2" s="1"/>
  <c r="AF38" i="2"/>
  <c r="AE38" i="2"/>
  <c r="AE36" i="2"/>
  <c r="AD39" i="2"/>
  <c r="AE24" i="16" l="1"/>
  <c r="AE15" i="13"/>
  <c r="AE40" i="2"/>
  <c r="AE3" i="14"/>
  <c r="AE8" i="14" s="1"/>
  <c r="AE3" i="16" s="1"/>
  <c r="Y3" i="15"/>
  <c r="Y5" i="15" s="1"/>
  <c r="Y11" i="15" s="1"/>
  <c r="AB3" i="15"/>
  <c r="AF40" i="2"/>
  <c r="AF24" i="16"/>
  <c r="AF15" i="13"/>
  <c r="AF39" i="2"/>
  <c r="AF3" i="14"/>
  <c r="AF8" i="14" s="1"/>
  <c r="AF3" i="16" s="1"/>
  <c r="Z37" i="3"/>
  <c r="AC5" i="13"/>
  <c r="AD14" i="13"/>
  <c r="AD10" i="13" s="1"/>
  <c r="AD12" i="13" s="1"/>
  <c r="AE39" i="2"/>
  <c r="AE41" i="2"/>
  <c r="AE9" i="13" l="1"/>
  <c r="AD4" i="13"/>
  <c r="AB5" i="15"/>
  <c r="AB11" i="15" s="1"/>
  <c r="AE14" i="13"/>
  <c r="AE10" i="13" s="1"/>
  <c r="Z38" i="3"/>
  <c r="AC7" i="13"/>
  <c r="Z40" i="3" s="1"/>
  <c r="AF14" i="13"/>
  <c r="AF10" i="13" s="1"/>
  <c r="Z3" i="15" l="1"/>
  <c r="Z5" i="15" s="1"/>
  <c r="Z11" i="15" s="1"/>
  <c r="AC3" i="15"/>
  <c r="AC5" i="15" s="1"/>
  <c r="AC11" i="15" s="1"/>
  <c r="AA37" i="3"/>
  <c r="AD5" i="13"/>
  <c r="AB19" i="15"/>
  <c r="AB22" i="15" s="1"/>
  <c r="AB7" i="16" s="1"/>
  <c r="AE12" i="13"/>
  <c r="AF5" i="16" l="1"/>
  <c r="AF10" i="16" s="1"/>
  <c r="AF12" i="16" s="1"/>
  <c r="AA38" i="3"/>
  <c r="AD7" i="13"/>
  <c r="AA40" i="3" s="1"/>
  <c r="AF9" i="13"/>
  <c r="AF12" i="13" s="1"/>
  <c r="AF4" i="13" s="1"/>
  <c r="AE4" i="13"/>
  <c r="AB12" i="16"/>
  <c r="AC12" i="16"/>
  <c r="AD12" i="16"/>
  <c r="AE10" i="16" l="1"/>
  <c r="AE12" i="16" s="1"/>
  <c r="AB14" i="16" s="1"/>
  <c r="AB18" i="16" s="1"/>
  <c r="W25" i="16" s="1"/>
  <c r="AE5" i="13"/>
  <c r="AB37" i="3"/>
  <c r="AF5" i="13"/>
  <c r="AC37" i="3"/>
  <c r="AD3" i="15"/>
  <c r="AD5" i="15" s="1"/>
  <c r="AD11" i="15" s="1"/>
  <c r="AA3" i="15"/>
  <c r="AA5" i="15" s="1"/>
  <c r="AA11" i="15" s="1"/>
  <c r="AF7" i="13" l="1"/>
  <c r="AC40" i="3" s="1"/>
  <c r="AF3" i="15" s="1"/>
  <c r="AF5" i="15" s="1"/>
  <c r="AF11" i="15" s="1"/>
  <c r="AC38" i="3"/>
  <c r="AB38" i="3"/>
  <c r="AE7" i="13"/>
  <c r="AB40" i="3" s="1"/>
  <c r="AE3" i="15" s="1"/>
  <c r="AE5" i="15" s="1"/>
  <c r="AE11" i="15" s="1"/>
</calcChain>
</file>

<file path=xl/sharedStrings.xml><?xml version="1.0" encoding="utf-8"?>
<sst xmlns="http://schemas.openxmlformats.org/spreadsheetml/2006/main" count="770" uniqueCount="307">
  <si>
    <t>Font</t>
  </si>
  <si>
    <t>blue</t>
  </si>
  <si>
    <t>Historical Numbers</t>
  </si>
  <si>
    <t>2025-26</t>
  </si>
  <si>
    <t>Q1</t>
  </si>
  <si>
    <t>black</t>
  </si>
  <si>
    <t>Calculation &amp; formula</t>
  </si>
  <si>
    <t>2024-25</t>
  </si>
  <si>
    <t>Q2</t>
  </si>
  <si>
    <t>Q3</t>
  </si>
  <si>
    <t>Q4</t>
  </si>
  <si>
    <t>red</t>
  </si>
  <si>
    <t>Verification</t>
  </si>
  <si>
    <t>2023-24</t>
  </si>
  <si>
    <t>green</t>
  </si>
  <si>
    <t>Referencing</t>
  </si>
  <si>
    <t>2022-23</t>
  </si>
  <si>
    <t>Projection / Guidance</t>
  </si>
  <si>
    <t>Background</t>
  </si>
  <si>
    <t>FY Mar Rs. Lakhs</t>
  </si>
  <si>
    <t>FY 2020-21</t>
  </si>
  <si>
    <t>Q1 2021-22</t>
  </si>
  <si>
    <t>Q2 2021-22</t>
  </si>
  <si>
    <t>Q3 2021-22</t>
  </si>
  <si>
    <t>Q4 2021-22</t>
  </si>
  <si>
    <t>FY 2021-22</t>
  </si>
  <si>
    <t>Q1 2022-23</t>
  </si>
  <si>
    <t>Q2 2022-23</t>
  </si>
  <si>
    <t>Q3 2022-23</t>
  </si>
  <si>
    <t>Q4 2022-23</t>
  </si>
  <si>
    <t>FY 2022-23</t>
  </si>
  <si>
    <t>Q1 2023-24</t>
  </si>
  <si>
    <t>Q2 2023-24</t>
  </si>
  <si>
    <t>Q3 2023-24</t>
  </si>
  <si>
    <t>Q4 2023-24</t>
  </si>
  <si>
    <t>FY 2023-24</t>
  </si>
  <si>
    <t>Q1 2024-25</t>
  </si>
  <si>
    <t>Q2 2024-25</t>
  </si>
  <si>
    <t>Q3 2024-25</t>
  </si>
  <si>
    <t>Q4 2024-25</t>
  </si>
  <si>
    <t>FY 2024-25</t>
  </si>
  <si>
    <t>Q1 2025-26</t>
  </si>
  <si>
    <t>E Q2 2025-26</t>
  </si>
  <si>
    <t>E Q3 2025-26</t>
  </si>
  <si>
    <t>E Q4 2025-26</t>
  </si>
  <si>
    <t>E FY 2025-26</t>
  </si>
  <si>
    <t>E FY 2026-27</t>
  </si>
  <si>
    <t>E FY 2027-28</t>
  </si>
  <si>
    <t>E FY 2028-29</t>
  </si>
  <si>
    <t>FY 2029-30</t>
  </si>
  <si>
    <t>Revenue from Operations</t>
  </si>
  <si>
    <t>Add</t>
  </si>
  <si>
    <t xml:space="preserve">Other Income </t>
  </si>
  <si>
    <t>Total revenue from operations</t>
  </si>
  <si>
    <t>YOY</t>
  </si>
  <si>
    <t>QoQ</t>
  </si>
  <si>
    <t xml:space="preserve">Checkline </t>
  </si>
  <si>
    <t>Cost of material consumed</t>
  </si>
  <si>
    <t>Purchase of stock in trade</t>
  </si>
  <si>
    <t>(Increase)/Decrease in Inventories of Finished Goods, Stock in Trade and Work-in-Progress</t>
  </si>
  <si>
    <t>advertisment and sale</t>
  </si>
  <si>
    <t>COGS</t>
  </si>
  <si>
    <t>Gross profit</t>
  </si>
  <si>
    <t>Gross profit Margin %</t>
  </si>
  <si>
    <t>Employee Benefits Expenses</t>
  </si>
  <si>
    <t>Other Expenses</t>
  </si>
  <si>
    <t>Operating Expenses</t>
  </si>
  <si>
    <t>EBITDA</t>
  </si>
  <si>
    <t>EBITDA Margin %</t>
  </si>
  <si>
    <t>Depreciation</t>
  </si>
  <si>
    <t>Amortization</t>
  </si>
  <si>
    <t>D&amp;A</t>
  </si>
  <si>
    <t>EBIT</t>
  </si>
  <si>
    <t>EBIT Margin</t>
  </si>
  <si>
    <t xml:space="preserve">Finance Costs </t>
  </si>
  <si>
    <t>Less</t>
  </si>
  <si>
    <t>Share of Loss of Associates</t>
  </si>
  <si>
    <t>Exceptional Items</t>
  </si>
  <si>
    <t>PBT</t>
  </si>
  <si>
    <t>Tax</t>
  </si>
  <si>
    <t>Tax Rate %</t>
  </si>
  <si>
    <t>Net Profit</t>
  </si>
  <si>
    <t>Y0Y</t>
  </si>
  <si>
    <t>Net Profit margin %</t>
  </si>
  <si>
    <t>Checkline</t>
  </si>
  <si>
    <t xml:space="preserve">Assets </t>
  </si>
  <si>
    <t>Property, Plant and Equipment</t>
  </si>
  <si>
    <t>Capital Work in Progress</t>
  </si>
  <si>
    <t>Investment Property</t>
  </si>
  <si>
    <t>Goodwill on Consoildation</t>
  </si>
  <si>
    <t xml:space="preserve">Other Intangible Assets </t>
  </si>
  <si>
    <t xml:space="preserve">Right of use of Assets </t>
  </si>
  <si>
    <t>Intangible Assets under development</t>
  </si>
  <si>
    <t>Investment accounted for using equity method</t>
  </si>
  <si>
    <t xml:space="preserve">Financial Assets </t>
  </si>
  <si>
    <t xml:space="preserve">Investments </t>
  </si>
  <si>
    <t>Loans</t>
  </si>
  <si>
    <t xml:space="preserve">Other financial Assets </t>
  </si>
  <si>
    <t>Deffered Tax Asset (Net)</t>
  </si>
  <si>
    <t>Non Current Tax Assets (Net)</t>
  </si>
  <si>
    <t xml:space="preserve">Other Non Current Assets </t>
  </si>
  <si>
    <t>Total non-current assets</t>
  </si>
  <si>
    <t>Inventories</t>
  </si>
  <si>
    <t>Investments</t>
  </si>
  <si>
    <t>Trade Receivables</t>
  </si>
  <si>
    <t xml:space="preserve">Cash and Cash equivalents </t>
  </si>
  <si>
    <t>Bank balance and other than above</t>
  </si>
  <si>
    <t xml:space="preserve">Loans </t>
  </si>
  <si>
    <t xml:space="preserve">Other Financial Assets </t>
  </si>
  <si>
    <t>Current Tax Assets (Net)</t>
  </si>
  <si>
    <t xml:space="preserve">Other Current Assets 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</si>
  <si>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</si>
  <si>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</si>
  <si>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</si>
  <si>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</si>
  <si>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</si>
  <si>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</si>
  <si>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 attributable to Equity Holders of the Parent</t>
  </si>
  <si>
    <t>Non-Controlling Interest</t>
  </si>
  <si>
    <t xml:space="preserve">Total Equity </t>
  </si>
  <si>
    <t>Liabilities</t>
  </si>
  <si>
    <t>Non Current Liabilities</t>
  </si>
  <si>
    <t>Financial Liabilities</t>
  </si>
  <si>
    <t>Lease Liabilities</t>
  </si>
  <si>
    <t>Other financial Liabilities</t>
  </si>
  <si>
    <t>Provisions</t>
  </si>
  <si>
    <t>Deffered Tax Liabilities (Net)</t>
  </si>
  <si>
    <t>Other Non Current financial Liabilities</t>
  </si>
  <si>
    <t>Total non-current liabilities</t>
  </si>
  <si>
    <t>Current Liabilities</t>
  </si>
  <si>
    <t>Borrowings</t>
  </si>
  <si>
    <t xml:space="preserve">Lease Liability </t>
  </si>
  <si>
    <t xml:space="preserve">Trade Payables </t>
  </si>
  <si>
    <t>Total outstanding dues of Micro Enterprises &amp; Small Enterprises</t>
  </si>
  <si>
    <t>Total outstanding dues of creditors other than Micro Enterprises &amp; Small Enterprises</t>
  </si>
  <si>
    <t>Other Financial Liabilities</t>
  </si>
  <si>
    <t>Other Current Liabilities</t>
  </si>
  <si>
    <t>Current Tax Liabilities (Net)</t>
  </si>
  <si>
    <t>Total Current Liabilities</t>
  </si>
  <si>
    <t>TOTAL EQUITY AND LIABILITIES</t>
  </si>
  <si>
    <t>FY Mar Rs. Mn</t>
  </si>
  <si>
    <t>A. Cash Flows from Operating Activities</t>
  </si>
  <si>
    <t>Profit Before Tax</t>
  </si>
  <si>
    <t>Adjustments for:</t>
  </si>
  <si>
    <t>Profit on Sale/Fair Value of mutual funds and AIF (Net)</t>
  </si>
  <si>
    <t>Depreciation, Impairment and Amortisation Expenses</t>
  </si>
  <si>
    <t>Finance Costs</t>
  </si>
  <si>
    <t>Interest income on Loans, Deposits &amp; Commercial Paper</t>
  </si>
  <si>
    <t>(Profit)/Loss on Sale/Disposal of Property, Plant &amp; Equipments (Net)</t>
  </si>
  <si>
    <t>Dividend Income from equity investment carried at fair value through OCI</t>
  </si>
  <si>
    <t>Dividend Income from equity investment carried at cost</t>
  </si>
  <si>
    <t>Share of loss of an Associates</t>
  </si>
  <si>
    <t>Sundry balances written (back)/off (Net)</t>
  </si>
  <si>
    <t>Unrealised Foreign Exchange Gain (Net)</t>
  </si>
  <si>
    <t>Share based payments in subsidiaries</t>
  </si>
  <si>
    <t>Provision for doubtful trade receivables</t>
  </si>
  <si>
    <t>Provision for litigation written back</t>
  </si>
  <si>
    <t>Profit on Fair Value of Loan</t>
  </si>
  <si>
    <t>Profit on fair value of investment in CCPS in associate</t>
  </si>
  <si>
    <t>Gain on reversal of impairment of Investments in an Associate</t>
  </si>
  <si>
    <t>Cash Generated from operations before working capital changes</t>
  </si>
  <si>
    <t>Adjustments for working capital changes :</t>
  </si>
  <si>
    <t>Increase/ (Decrease) in Trade Payables and Other Liabilities</t>
  </si>
  <si>
    <t>Decrease in Inventories</t>
  </si>
  <si>
    <t>Decrease/(Increase) in Trade Receivables</t>
  </si>
  <si>
    <t>Decrease in Loans and Other Financial Assets</t>
  </si>
  <si>
    <t>Decrease in Other Non Financial Assets</t>
  </si>
  <si>
    <t>(Decrease) in Provisions</t>
  </si>
  <si>
    <t xml:space="preserve">Cash Generated from Operations </t>
  </si>
  <si>
    <t xml:space="preserve">Less </t>
  </si>
  <si>
    <t>NET CASH FLOWS GENERATED FROM OPERATING ACTIVITIES*</t>
  </si>
  <si>
    <t>B. CASH FLOWS FROM INVESTING ACTIVITIES:</t>
  </si>
  <si>
    <t xml:space="preserve">Interest Received </t>
  </si>
  <si>
    <t>Dividend Received</t>
  </si>
  <si>
    <t xml:space="preserve">Purchase of Current Investments </t>
  </si>
  <si>
    <t>Proceeds from Sale of Current Investments</t>
  </si>
  <si>
    <t xml:space="preserve">Loans given to Body Corporate </t>
  </si>
  <si>
    <t>Loans given to Associate</t>
  </si>
  <si>
    <t>Short term loans given</t>
  </si>
  <si>
    <t>Proceeds from repayment of loan given</t>
  </si>
  <si>
    <t>Purchase of Property, Plant &amp; Equipment &amp; Intangible Assets (Including Capital Work-in-Progress and Intangible Assets under Development)</t>
  </si>
  <si>
    <t>Proceeds from Sale of Property, Plant &amp; Equipment</t>
  </si>
  <si>
    <t>Investments in Alternative Investment Fund (AIF)</t>
  </si>
  <si>
    <t>Proceeds from Alternative Investment Fund (AIF)</t>
  </si>
  <si>
    <t>Investment in Compulsorily Convertible Preference Shares</t>
  </si>
  <si>
    <t>Investment in Equity Shares of Associate</t>
  </si>
  <si>
    <t>Deposits made with Banks</t>
  </si>
  <si>
    <t>Proceeds from maturity of Deposits with Banks</t>
  </si>
  <si>
    <t>NET CASH USED FLOWS IN INVESTING ACTIVITIES</t>
  </si>
  <si>
    <t>C. CASH FLOWS FROM FINANCING ACTIVITIES</t>
  </si>
  <si>
    <t>Repayment of Short Term Borrowings</t>
  </si>
  <si>
    <t xml:space="preserve">Proceeds from Short Term Borrowings </t>
  </si>
  <si>
    <t>Acquisition of Non-controlling interests</t>
  </si>
  <si>
    <t>Buy Back of Shares including Transaction Costs and Taxes</t>
  </si>
  <si>
    <t>Transfer (to) /from Escrow Account</t>
  </si>
  <si>
    <t>Interest Paid</t>
  </si>
  <si>
    <t>Dividend Paid</t>
  </si>
  <si>
    <t>Corporate Dividend Tax paid</t>
  </si>
  <si>
    <t>Payment of Principal Portion of Lease Liabilities</t>
  </si>
  <si>
    <t>Payment against Cancellation of Share based payments in subsidiaries</t>
  </si>
  <si>
    <t>Cash Credit (repaid)/taken (net) (Including working capital demand loan)</t>
  </si>
  <si>
    <t>NET CASH FLOWS USED IN FINANCING ACTIVITIES</t>
  </si>
  <si>
    <t>D. Effect of Foreign Exchange Fluctuation</t>
  </si>
  <si>
    <t>NET INCREASE IN CASH &amp; CASH EQUIVALENTS (A+B+C+D)</t>
  </si>
  <si>
    <t>Add-CASH &amp; CASH EQUIVALENTS-AT THE BEGINNING OF THE YEAR</t>
  </si>
  <si>
    <t>CASH &amp; CASH EQUIVALENTS-AT THE END OF THE YEAR</t>
  </si>
  <si>
    <t>Cash &amp; Cash Equivalents includes:</t>
  </si>
  <si>
    <t>Balances with banks</t>
  </si>
  <si>
    <t>Fixed Deposits with Banks (Original Maturity of less than 3 Months)</t>
  </si>
  <si>
    <t>Cheques in hand</t>
  </si>
  <si>
    <t>Fund in transit</t>
  </si>
  <si>
    <t>Cash on hand</t>
  </si>
  <si>
    <t>Total Cash &amp; Cash Equivalents (Refer Note No. : 3.13)</t>
  </si>
  <si>
    <t>Index</t>
  </si>
  <si>
    <t>Low</t>
  </si>
  <si>
    <t>Mid</t>
  </si>
  <si>
    <t>High</t>
  </si>
  <si>
    <t>% of Total revenue from Operation</t>
  </si>
  <si>
    <t>% of COGS</t>
  </si>
  <si>
    <t>% of Operating Exp</t>
  </si>
  <si>
    <t>% of Revenue from Operation</t>
  </si>
  <si>
    <t>Financial assets</t>
  </si>
  <si>
    <t>% of Other Income</t>
  </si>
  <si>
    <t>Trade receivables</t>
  </si>
  <si>
    <t>Other bank balances</t>
  </si>
  <si>
    <t>% of revenue from Operation</t>
  </si>
  <si>
    <t>Other financial assets</t>
  </si>
  <si>
    <t>Other current assets</t>
  </si>
  <si>
    <t>Current Assets (Ex. Cash &amp; Financial Derivatives)</t>
  </si>
  <si>
    <t>Other income</t>
  </si>
  <si>
    <t>Inventory Days</t>
  </si>
  <si>
    <t>Receivable Days</t>
  </si>
  <si>
    <t>[ Inventory Days - (Io*365)/(2*COGS)]* (2*COGS)/365</t>
  </si>
  <si>
    <t>Financial liabilities</t>
  </si>
  <si>
    <t>Lease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</si>
  <si>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</si>
  <si>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</si>
  <si>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</si>
  <si>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</si>
  <si>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Liabilities for current tax net</t>
  </si>
  <si>
    <t>Other current liabilities</t>
  </si>
  <si>
    <t>Total current liabilities (Ex. Borrowing &amp; Derivatives financial Instruments)</t>
  </si>
  <si>
    <t>Payable Days</t>
  </si>
  <si>
    <t>Inventory Days=((I1+I0)/2)/COGS*365</t>
  </si>
  <si>
    <t>Inventory Days=((I1+I0)/(2*COGS)*365</t>
  </si>
  <si>
    <t>Inventory Days=(I1/(2*COGS)*365)+ (I0/2*COGS)*365</t>
  </si>
  <si>
    <t>Inventory Days - Io/(2*COGS)*365 = I1 /( 2*COGS)*365</t>
  </si>
  <si>
    <t>Operating Cycle</t>
  </si>
  <si>
    <t>Cash Convesrion Cycle</t>
  </si>
  <si>
    <t>Working Capital</t>
  </si>
  <si>
    <t>Change in Working Capital</t>
  </si>
  <si>
    <t>Opening Property plant and equipment</t>
  </si>
  <si>
    <t>Capex</t>
  </si>
  <si>
    <t>Dpe % of Op PPE</t>
  </si>
  <si>
    <t>Closing Property plant and equipment</t>
  </si>
  <si>
    <t>Opening Goodwill &amp; Intangible</t>
  </si>
  <si>
    <t>Closing Goodwill &amp; Intangible</t>
  </si>
  <si>
    <t>Total Capex</t>
  </si>
  <si>
    <t>Long Term Borrowing</t>
  </si>
  <si>
    <t>Short Term Borrowing</t>
  </si>
  <si>
    <t>Total Debt</t>
  </si>
  <si>
    <t>Interest Rate %</t>
  </si>
  <si>
    <t>Opening other Equity</t>
  </si>
  <si>
    <t>Retain Earning</t>
  </si>
  <si>
    <t>New Equity Share premium</t>
  </si>
  <si>
    <t>Cl Other Equity</t>
  </si>
  <si>
    <t>Dividend payout Ratio</t>
  </si>
  <si>
    <t>(Add)  D&amp;A</t>
  </si>
  <si>
    <t>(Add)  Finance Cost*(1-T)</t>
  </si>
  <si>
    <t>(Less)  Capex</t>
  </si>
  <si>
    <t>(Less) Change in Working Capital</t>
  </si>
  <si>
    <t>FCFF</t>
  </si>
  <si>
    <t>Total Equity</t>
  </si>
  <si>
    <t>Tax Rate</t>
  </si>
  <si>
    <t>Economic Growth = g</t>
  </si>
  <si>
    <t>Yr</t>
  </si>
  <si>
    <t>Terminal Value (T.V. nth yr) = FCFF n+1 / [ K-g ]</t>
  </si>
  <si>
    <t>Cost of Capital = K</t>
  </si>
  <si>
    <t>Total Cash Flow = FCFF + Terminal Value</t>
  </si>
  <si>
    <t>PV of Future Cash Flow</t>
  </si>
  <si>
    <t>Final DCF Valuation</t>
  </si>
  <si>
    <t>No. of Outstanding Shares</t>
  </si>
  <si>
    <t>Intrinsic Value Per Share</t>
  </si>
  <si>
    <t>EPS</t>
  </si>
  <si>
    <t>PE Multiple</t>
  </si>
  <si>
    <t>Valuation as per PE Multiple</t>
  </si>
  <si>
    <t>Goodwill</t>
  </si>
  <si>
    <t>Other intangible assets</t>
  </si>
  <si>
    <t>Finance Cost</t>
  </si>
  <si>
    <t>Equity attributable to equity shareholders of the parent company</t>
  </si>
  <si>
    <t>Non-Controlling interests</t>
  </si>
  <si>
    <t>Total equity</t>
  </si>
  <si>
    <t>Dividend paid</t>
  </si>
  <si>
    <t>Total Capital</t>
  </si>
  <si>
    <t>Calculation of Cost of Debt</t>
  </si>
  <si>
    <t>Interest Rate</t>
  </si>
  <si>
    <t>After Tax Cost of Debt</t>
  </si>
  <si>
    <t>Weight Debt in Total Capital</t>
  </si>
  <si>
    <t>Calculation of Cost of Equity</t>
  </si>
  <si>
    <t>Risk Free Rate (10 Years Govt. Bond)</t>
  </si>
  <si>
    <t>Expected Market Premium</t>
  </si>
  <si>
    <t>Market Risk Premium</t>
  </si>
  <si>
    <t>Beta of the Stock</t>
  </si>
  <si>
    <t>Cost of Equity</t>
  </si>
  <si>
    <t>Weight of Equity in Total Capital</t>
  </si>
  <si>
    <t>Weighted Average Cost of Capital</t>
  </si>
  <si>
    <t>% Total revenue from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</si>
</sst>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33CC33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name val="Calibri"/>
      <family val="2"/>
      <charset val="1"/>
    </font>
    <font>
      <sz val="11"/>
      <color rgb="FF00B050"/>
      <name val="Calibri"/>
      <family val="2"/>
      <charset val="1"/>
    </font>
    <font>
      <b/>
      <sz val="11"/>
      <color rgb="FF00B05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C00000"/>
      <name val="Calibri"/>
      <family val="2"/>
      <charset val="1"/>
    </font>
    <font>
      <b/>
      <sz val="11"/>
      <color rgb="FFC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u/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5" tint="0.59987182226020086"/>
        <bgColor rgb="FFD9D9D9"/>
      </patternFill>
    </fill>
    <fill>
      <patternFill patternType="solid">
        <fgColor theme="4" tint="0.39988402966399123"/>
        <bgColor rgb="FF969696"/>
      </patternFill>
    </fill>
    <fill>
      <patternFill patternType="solid">
        <fgColor rgb="FFFF0000"/>
        <bgColor rgb="FFC00000"/>
      </patternFill>
    </fill>
    <fill>
      <patternFill patternType="solid">
        <fgColor theme="0" tint="-0.14999847407452621"/>
        <bgColor rgb="FFF8CBAD"/>
      </patternFill>
    </fill>
    <fill>
      <patternFill patternType="solid">
        <fgColor theme="9" tint="0.39988402966399123"/>
        <bgColor rgb="FFBFBFBF"/>
      </patternFill>
    </fill>
    <fill>
      <patternFill patternType="solid">
        <fgColor rgb="FF00B050"/>
        <bgColor rgb="FF33CC33"/>
      </patternFill>
    </fill>
    <fill>
      <patternFill patternType="solid">
        <fgColor rgb="FFFFFFCC"/>
        <bgColor rgb="FFFFFFFF"/>
      </patternFill>
    </fill>
    <fill>
      <patternFill patternType="solid">
        <fgColor theme="0" tint="-0.249977111117893"/>
        <bgColor rgb="FFA9D18E"/>
      </patternFill>
    </fill>
    <fill>
      <patternFill patternType="solid">
        <fgColor indexed="4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000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6" fillId="0" borderId="0" applyBorder="0" applyProtection="0"/>
  </cellStyleXfs>
  <cellXfs count="147">
    <xf numFmtId="0" fontId="0" fillId="0" borderId="0" xfId="0"/>
    <xf numFmtId="0" fontId="3" fillId="2" borderId="0" xfId="0" applyFont="1" applyFill="1"/>
    <xf numFmtId="0" fontId="0" fillId="3" borderId="1" xfId="0" applyFill="1" applyBorder="1"/>
    <xf numFmtId="0" fontId="0" fillId="0" borderId="1" xfId="0" applyBorder="1"/>
    <xf numFmtId="0" fontId="0" fillId="4" borderId="0" xfId="0" applyFill="1"/>
    <xf numFmtId="0" fontId="0" fillId="5" borderId="1" xfId="0" applyFill="1" applyBorder="1"/>
    <xf numFmtId="0" fontId="0" fillId="6" borderId="1" xfId="0" applyFill="1" applyBorder="1"/>
    <xf numFmtId="0" fontId="3" fillId="3" borderId="1" xfId="0" applyFont="1" applyFill="1" applyBorder="1"/>
    <xf numFmtId="0" fontId="4" fillId="7" borderId="0" xfId="0" applyFont="1" applyFill="1"/>
    <xf numFmtId="0" fontId="0" fillId="8" borderId="1" xfId="0" applyFill="1" applyBorder="1"/>
    <xf numFmtId="0" fontId="0" fillId="9" borderId="1" xfId="0" applyFill="1" applyBorder="1"/>
    <xf numFmtId="0" fontId="5" fillId="10" borderId="0" xfId="0" applyFont="1" applyFill="1"/>
    <xf numFmtId="0" fontId="0" fillId="11" borderId="0" xfId="0" applyFill="1"/>
    <xf numFmtId="0" fontId="6" fillId="0" borderId="0" xfId="0" applyFont="1"/>
    <xf numFmtId="0" fontId="7" fillId="2" borderId="1" xfId="0" applyFont="1" applyFill="1" applyBorder="1"/>
    <xf numFmtId="0" fontId="8" fillId="12" borderId="1" xfId="0" applyFont="1" applyFill="1" applyBorder="1"/>
    <xf numFmtId="0" fontId="8" fillId="0" borderId="1" xfId="0" applyFont="1" applyBorder="1"/>
    <xf numFmtId="0" fontId="6" fillId="0" borderId="1" xfId="0" applyFont="1" applyBorder="1"/>
    <xf numFmtId="0" fontId="3" fillId="0" borderId="1" xfId="0" applyFont="1" applyBorder="1"/>
    <xf numFmtId="1" fontId="9" fillId="0" borderId="1" xfId="0" applyNumberFormat="1" applyFont="1" applyBorder="1"/>
    <xf numFmtId="0" fontId="8" fillId="0" borderId="0" xfId="0" applyFont="1"/>
    <xf numFmtId="1" fontId="10" fillId="0" borderId="1" xfId="0" applyNumberFormat="1" applyFont="1" applyBorder="1"/>
    <xf numFmtId="9" fontId="8" fillId="0" borderId="0" xfId="1" applyFont="1" applyBorder="1" applyProtection="1"/>
    <xf numFmtId="9" fontId="8" fillId="0" borderId="1" xfId="1" applyFont="1" applyBorder="1" applyProtection="1"/>
    <xf numFmtId="164" fontId="8" fillId="0" borderId="1" xfId="1" applyNumberFormat="1" applyFont="1" applyBorder="1" applyProtection="1"/>
    <xf numFmtId="10" fontId="8" fillId="0" borderId="0" xfId="1" applyNumberFormat="1" applyFont="1" applyBorder="1" applyProtection="1"/>
    <xf numFmtId="10" fontId="6" fillId="0" borderId="0" xfId="1" applyNumberFormat="1" applyFont="1" applyBorder="1" applyProtection="1"/>
    <xf numFmtId="1" fontId="0" fillId="0" borderId="0" xfId="0" applyNumberFormat="1"/>
    <xf numFmtId="0" fontId="4" fillId="0" borderId="0" xfId="0" applyFont="1"/>
    <xf numFmtId="0" fontId="4" fillId="0" borderId="1" xfId="0" applyFont="1" applyBorder="1"/>
    <xf numFmtId="1" fontId="4" fillId="0" borderId="1" xfId="0" applyNumberFormat="1" applyFont="1" applyBorder="1"/>
    <xf numFmtId="9" fontId="3" fillId="0" borderId="1" xfId="1" applyFont="1" applyBorder="1" applyProtection="1"/>
    <xf numFmtId="0" fontId="11" fillId="0" borderId="0" xfId="0" applyFont="1"/>
    <xf numFmtId="0" fontId="11" fillId="0" borderId="1" xfId="0" applyFont="1" applyBorder="1"/>
    <xf numFmtId="1" fontId="11" fillId="0" borderId="1" xfId="0" applyNumberFormat="1" applyFont="1" applyBorder="1"/>
    <xf numFmtId="10" fontId="8" fillId="0" borderId="1" xfId="1" applyNumberFormat="1" applyFont="1" applyBorder="1" applyProtection="1"/>
    <xf numFmtId="9" fontId="11" fillId="0" borderId="1" xfId="1" applyFont="1" applyBorder="1" applyProtection="1"/>
    <xf numFmtId="10" fontId="8" fillId="0" borderId="0" xfId="0" applyNumberFormat="1" applyFont="1"/>
    <xf numFmtId="10" fontId="16" fillId="0" borderId="0" xfId="1" applyNumberFormat="1" applyBorder="1" applyProtection="1"/>
    <xf numFmtId="0" fontId="7" fillId="0" borderId="1" xfId="0" applyFont="1" applyBorder="1"/>
    <xf numFmtId="1" fontId="3" fillId="0" borderId="1" xfId="0" applyNumberFormat="1" applyFont="1" applyBorder="1"/>
    <xf numFmtId="0" fontId="0" fillId="0" borderId="0" xfId="0" applyAlignment="1">
      <alignment wrapText="1"/>
    </xf>
    <xf numFmtId="0" fontId="0" fillId="0" borderId="0" xfId="0" applyAlignment="1">
      <alignment horizontal="left" vertical="center" indent="3"/>
    </xf>
    <xf numFmtId="1" fontId="8" fillId="0" borderId="1" xfId="0" applyNumberFormat="1" applyFont="1" applyBorder="1"/>
    <xf numFmtId="0" fontId="0" fillId="0" borderId="0" xfId="0" applyAlignment="1">
      <alignment horizontal="left" indent="1"/>
    </xf>
    <xf numFmtId="10" fontId="11" fillId="0" borderId="0" xfId="1" applyNumberFormat="1" applyFont="1" applyBorder="1" applyProtection="1"/>
    <xf numFmtId="10" fontId="11" fillId="0" borderId="0" xfId="0" applyNumberFormat="1" applyFont="1"/>
    <xf numFmtId="0" fontId="6" fillId="0" borderId="0" xfId="0" applyFont="1" applyAlignment="1">
      <alignment wrapText="1"/>
    </xf>
    <xf numFmtId="1" fontId="3" fillId="0" borderId="0" xfId="0" applyNumberFormat="1" applyFont="1"/>
    <xf numFmtId="1" fontId="6" fillId="0" borderId="0" xfId="0" applyNumberFormat="1" applyFont="1"/>
    <xf numFmtId="1" fontId="12" fillId="0" borderId="1" xfId="0" applyNumberFormat="1" applyFont="1" applyBorder="1"/>
    <xf numFmtId="0" fontId="13" fillId="0" borderId="0" xfId="0" applyFont="1"/>
    <xf numFmtId="0" fontId="13" fillId="0" borderId="1" xfId="0" applyFont="1" applyBorder="1"/>
    <xf numFmtId="1" fontId="13" fillId="0" borderId="1" xfId="0" applyNumberFormat="1" applyFont="1" applyBorder="1"/>
    <xf numFmtId="0" fontId="0" fillId="0" borderId="3" xfId="0" applyBorder="1"/>
    <xf numFmtId="0" fontId="14" fillId="0" borderId="0" xfId="0" applyFont="1"/>
    <xf numFmtId="0" fontId="10" fillId="0" borderId="1" xfId="0" applyFont="1" applyBorder="1"/>
    <xf numFmtId="1" fontId="6" fillId="0" borderId="1" xfId="0" applyNumberFormat="1" applyFont="1" applyBorder="1"/>
    <xf numFmtId="10" fontId="10" fillId="0" borderId="1" xfId="1" applyNumberFormat="1" applyFont="1" applyBorder="1" applyProtection="1"/>
    <xf numFmtId="10" fontId="12" fillId="11" borderId="1" xfId="1" applyNumberFormat="1" applyFont="1" applyFill="1" applyBorder="1" applyProtection="1"/>
    <xf numFmtId="0" fontId="6" fillId="0" borderId="1" xfId="1" applyNumberFormat="1" applyFont="1" applyBorder="1" applyProtection="1"/>
    <xf numFmtId="10" fontId="6" fillId="0" borderId="1" xfId="1" applyNumberFormat="1" applyFont="1" applyBorder="1" applyProtection="1"/>
    <xf numFmtId="10" fontId="12" fillId="0" borderId="1" xfId="1" applyNumberFormat="1" applyFont="1" applyBorder="1" applyProtection="1"/>
    <xf numFmtId="0" fontId="9" fillId="0" borderId="1" xfId="0" applyFont="1" applyBorder="1"/>
    <xf numFmtId="1" fontId="0" fillId="0" borderId="1" xfId="0" applyNumberFormat="1" applyBorder="1"/>
    <xf numFmtId="10" fontId="16" fillId="0" borderId="1" xfId="1" applyNumberFormat="1" applyBorder="1" applyProtection="1"/>
    <xf numFmtId="0" fontId="15" fillId="0" borderId="4" xfId="0" applyFont="1" applyBorder="1"/>
    <xf numFmtId="1" fontId="14" fillId="0" borderId="0" xfId="0" applyNumberFormat="1" applyFont="1"/>
    <xf numFmtId="0" fontId="9" fillId="0" borderId="0" xfId="0" applyFont="1"/>
    <xf numFmtId="1" fontId="9" fillId="0" borderId="0" xfId="0" applyNumberFormat="1" applyFont="1"/>
    <xf numFmtId="1" fontId="11" fillId="0" borderId="0" xfId="0" applyNumberFormat="1" applyFont="1"/>
    <xf numFmtId="10" fontId="12" fillId="11" borderId="0" xfId="1" applyNumberFormat="1" applyFont="1" applyFill="1" applyBorder="1" applyProtection="1"/>
    <xf numFmtId="10" fontId="12" fillId="0" borderId="0" xfId="1" applyNumberFormat="1" applyFont="1" applyBorder="1" applyProtection="1"/>
    <xf numFmtId="9" fontId="9" fillId="0" borderId="0" xfId="1" applyFont="1" applyBorder="1" applyProtection="1"/>
    <xf numFmtId="0" fontId="10" fillId="0" borderId="0" xfId="0" applyFont="1"/>
    <xf numFmtId="1" fontId="10" fillId="0" borderId="0" xfId="0" applyNumberFormat="1" applyFont="1"/>
    <xf numFmtId="165" fontId="10" fillId="0" borderId="0" xfId="0" applyNumberFormat="1" applyFont="1"/>
    <xf numFmtId="10" fontId="0" fillId="0" borderId="0" xfId="0" applyNumberFormat="1"/>
    <xf numFmtId="0" fontId="0" fillId="0" borderId="1" xfId="0" applyBorder="1" applyAlignment="1">
      <alignment horizontal="left" indent="2"/>
    </xf>
    <xf numFmtId="1" fontId="9" fillId="0" borderId="1" xfId="0" applyNumberFormat="1" applyFont="1" applyBorder="1" applyAlignment="1">
      <alignment horizontal="left" indent="2"/>
    </xf>
    <xf numFmtId="9" fontId="16" fillId="0" borderId="0" xfId="1" applyBorder="1" applyProtection="1"/>
    <xf numFmtId="9" fontId="16" fillId="0" borderId="1" xfId="1" applyBorder="1" applyProtection="1"/>
    <xf numFmtId="10" fontId="3" fillId="11" borderId="1" xfId="1" applyNumberFormat="1" applyFont="1" applyFill="1" applyBorder="1" applyProtection="1"/>
    <xf numFmtId="10" fontId="11" fillId="0" borderId="1" xfId="1" applyNumberFormat="1" applyFont="1" applyBorder="1" applyProtection="1"/>
    <xf numFmtId="0" fontId="3" fillId="11" borderId="1" xfId="0" applyFont="1" applyFill="1" applyBorder="1"/>
    <xf numFmtId="0" fontId="11" fillId="0" borderId="1" xfId="0" applyFont="1" applyBorder="1" applyAlignment="1">
      <alignment horizontal="left" wrapText="1" indent="2"/>
    </xf>
    <xf numFmtId="0" fontId="8" fillId="0" borderId="1" xfId="0" applyFont="1" applyBorder="1" applyAlignment="1">
      <alignment wrapText="1"/>
    </xf>
    <xf numFmtId="1" fontId="19" fillId="0" borderId="0" xfId="0" applyNumberFormat="1" applyFont="1"/>
    <xf numFmtId="1" fontId="19" fillId="0" borderId="1" xfId="0" applyNumberFormat="1" applyFont="1" applyBorder="1"/>
    <xf numFmtId="9" fontId="19" fillId="0" borderId="1" xfId="1" applyFont="1" applyBorder="1" applyProtection="1"/>
    <xf numFmtId="0" fontId="19" fillId="0" borderId="1" xfId="0" applyFont="1" applyBorder="1"/>
    <xf numFmtId="0" fontId="17" fillId="13" borderId="1" xfId="0" applyFont="1" applyFill="1" applyBorder="1"/>
    <xf numFmtId="0" fontId="20" fillId="14" borderId="1" xfId="0" applyFont="1" applyFill="1" applyBorder="1"/>
    <xf numFmtId="0" fontId="20" fillId="0" borderId="1" xfId="0" applyFont="1" applyBorder="1"/>
    <xf numFmtId="0" fontId="18" fillId="0" borderId="1" xfId="0" applyFont="1" applyBorder="1"/>
    <xf numFmtId="0" fontId="17" fillId="15" borderId="1" xfId="0" applyFont="1" applyFill="1" applyBorder="1"/>
    <xf numFmtId="2" fontId="21" fillId="0" borderId="1" xfId="0" applyNumberFormat="1" applyFont="1" applyBorder="1"/>
    <xf numFmtId="2" fontId="18" fillId="0" borderId="1" xfId="0" applyNumberFormat="1" applyFont="1" applyBorder="1"/>
    <xf numFmtId="0" fontId="18" fillId="0" borderId="0" xfId="0" applyFont="1"/>
    <xf numFmtId="1" fontId="22" fillId="0" borderId="1" xfId="0" applyNumberFormat="1" applyFont="1" applyBorder="1"/>
    <xf numFmtId="0" fontId="2" fillId="0" borderId="1" xfId="0" applyFont="1" applyBorder="1"/>
    <xf numFmtId="1" fontId="18" fillId="0" borderId="1" xfId="0" applyNumberFormat="1" applyFont="1" applyBorder="1"/>
    <xf numFmtId="0" fontId="2" fillId="0" borderId="0" xfId="0" applyFont="1"/>
    <xf numFmtId="0" fontId="22" fillId="0" borderId="0" xfId="0" applyFont="1"/>
    <xf numFmtId="0" fontId="21" fillId="0" borderId="0" xfId="0" applyFont="1"/>
    <xf numFmtId="164" fontId="2" fillId="0" borderId="0" xfId="1" applyNumberFormat="1" applyFont="1"/>
    <xf numFmtId="164" fontId="0" fillId="0" borderId="0" xfId="1" applyNumberFormat="1" applyFont="1"/>
    <xf numFmtId="1" fontId="18" fillId="0" borderId="0" xfId="0" applyNumberFormat="1" applyFont="1"/>
    <xf numFmtId="1" fontId="22" fillId="0" borderId="0" xfId="0" applyNumberFormat="1" applyFont="1"/>
    <xf numFmtId="1" fontId="21" fillId="0" borderId="0" xfId="0" applyNumberFormat="1" applyFont="1"/>
    <xf numFmtId="164" fontId="0" fillId="0" borderId="0" xfId="0" applyNumberFormat="1"/>
    <xf numFmtId="0" fontId="24" fillId="16" borderId="0" xfId="0" applyFont="1" applyFill="1"/>
    <xf numFmtId="10" fontId="2" fillId="0" borderId="0" xfId="1" applyNumberFormat="1" applyFont="1"/>
    <xf numFmtId="10" fontId="0" fillId="0" borderId="0" xfId="1" applyNumberFormat="1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1" fontId="21" fillId="0" borderId="1" xfId="0" applyNumberFormat="1" applyFont="1" applyBorder="1"/>
    <xf numFmtId="10" fontId="22" fillId="0" borderId="1" xfId="0" applyNumberFormat="1" applyFont="1" applyBorder="1"/>
    <xf numFmtId="10" fontId="21" fillId="0" borderId="1" xfId="0" applyNumberFormat="1" applyFont="1" applyBorder="1"/>
    <xf numFmtId="0" fontId="24" fillId="0" borderId="1" xfId="0" applyFont="1" applyBorder="1"/>
    <xf numFmtId="2" fontId="0" fillId="0" borderId="1" xfId="0" applyNumberFormat="1" applyBorder="1"/>
    <xf numFmtId="0" fontId="24" fillId="16" borderId="1" xfId="0" applyFont="1" applyFill="1" applyBorder="1"/>
    <xf numFmtId="2" fontId="23" fillId="17" borderId="1" xfId="0" applyNumberFormat="1" applyFont="1" applyFill="1" applyBorder="1"/>
    <xf numFmtId="0" fontId="23" fillId="16" borderId="0" xfId="0" applyFont="1" applyFill="1"/>
    <xf numFmtId="1" fontId="24" fillId="16" borderId="0" xfId="0" applyNumberFormat="1" applyFont="1" applyFill="1"/>
    <xf numFmtId="1" fontId="8" fillId="0" borderId="0" xfId="0" applyNumberFormat="1" applyFont="1"/>
    <xf numFmtId="1" fontId="25" fillId="0" borderId="0" xfId="0" applyNumberFormat="1" applyFont="1"/>
    <xf numFmtId="10" fontId="24" fillId="16" borderId="1" xfId="1" applyNumberFormat="1" applyFont="1" applyFill="1" applyBorder="1"/>
    <xf numFmtId="9" fontId="16" fillId="0" borderId="0" xfId="1"/>
    <xf numFmtId="9" fontId="25" fillId="0" borderId="0" xfId="1" applyFont="1"/>
    <xf numFmtId="1" fontId="28" fillId="0" borderId="1" xfId="0" applyNumberFormat="1" applyFont="1" applyBorder="1"/>
    <xf numFmtId="9" fontId="0" fillId="0" borderId="0" xfId="0" applyNumberFormat="1"/>
    <xf numFmtId="9" fontId="25" fillId="18" borderId="0" xfId="1" applyFont="1" applyFill="1"/>
    <xf numFmtId="9" fontId="28" fillId="0" borderId="0" xfId="1" applyFont="1" applyBorder="1" applyProtection="1"/>
    <xf numFmtId="0" fontId="25" fillId="18" borderId="0" xfId="0" applyFont="1" applyFill="1"/>
    <xf numFmtId="0" fontId="1" fillId="0" borderId="1" xfId="0" applyFont="1" applyBorder="1"/>
    <xf numFmtId="1" fontId="23" fillId="17" borderId="1" xfId="0" applyNumberFormat="1" applyFont="1" applyFill="1" applyBorder="1"/>
    <xf numFmtId="2" fontId="12" fillId="0" borderId="1" xfId="1" applyNumberFormat="1" applyFont="1" applyBorder="1" applyProtection="1"/>
    <xf numFmtId="0" fontId="29" fillId="13" borderId="1" xfId="0" applyFont="1" applyFill="1" applyBorder="1"/>
    <xf numFmtId="10" fontId="25" fillId="18" borderId="0" xfId="1" applyNumberFormat="1" applyFont="1" applyFill="1"/>
    <xf numFmtId="0" fontId="25" fillId="0" borderId="2" xfId="0" applyFont="1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8CBAD"/>
      <rgbColor rgb="FF3366FF"/>
      <rgbColor rgb="FF33CC33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246240</xdr:colOff>
      <xdr:row>2</xdr:row>
      <xdr:rowOff>3600</xdr:rowOff>
    </xdr:from>
    <xdr:to>
      <xdr:col>6</xdr:col>
      <xdr:colOff>246240</xdr:colOff>
      <xdr:row>3</xdr:row>
      <xdr:rowOff>130680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4559760" y="365400"/>
          <a:ext cx="360" cy="308520"/>
        </a:xfrm>
        <a:prstGeom prst="straightConnector1">
          <a:avLst/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6</xdr:col>
      <xdr:colOff>257760</xdr:colOff>
      <xdr:row>2</xdr:row>
      <xdr:rowOff>7560</xdr:rowOff>
    </xdr:from>
    <xdr:to>
      <xdr:col>9</xdr:col>
      <xdr:colOff>269280</xdr:colOff>
      <xdr:row>3</xdr:row>
      <xdr:rowOff>42120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4571280" y="369360"/>
          <a:ext cx="1846440" cy="216000"/>
        </a:xfrm>
        <a:prstGeom prst="straightConnector1">
          <a:avLst/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9</xdr:col>
      <xdr:colOff>296280</xdr:colOff>
      <xdr:row>3</xdr:row>
      <xdr:rowOff>107640</xdr:rowOff>
    </xdr:from>
    <xdr:to>
      <xdr:col>9</xdr:col>
      <xdr:colOff>296280</xdr:colOff>
      <xdr:row>5</xdr:row>
      <xdr:rowOff>84600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6444360" y="650520"/>
          <a:ext cx="360" cy="339480"/>
        </a:xfrm>
        <a:prstGeom prst="straightConnector1">
          <a:avLst/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8</xdr:col>
      <xdr:colOff>284760</xdr:colOff>
      <xdr:row>3</xdr:row>
      <xdr:rowOff>142200</xdr:rowOff>
    </xdr:from>
    <xdr:to>
      <xdr:col>9</xdr:col>
      <xdr:colOff>299880</xdr:colOff>
      <xdr:row>3</xdr:row>
      <xdr:rowOff>146160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5821200" y="685080"/>
          <a:ext cx="627120" cy="4320"/>
        </a:xfrm>
        <a:prstGeom prst="straightConnector1">
          <a:avLst/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8</xdr:col>
      <xdr:colOff>242280</xdr:colOff>
      <xdr:row>3</xdr:row>
      <xdr:rowOff>130680</xdr:rowOff>
    </xdr:from>
    <xdr:to>
      <xdr:col>8</xdr:col>
      <xdr:colOff>253800</xdr:colOff>
      <xdr:row>5</xdr:row>
      <xdr:rowOff>173160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5778720" y="673560"/>
          <a:ext cx="11880" cy="405000"/>
        </a:xfrm>
        <a:prstGeom prst="straightConnector1">
          <a:avLst/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7</xdr:col>
      <xdr:colOff>246240</xdr:colOff>
      <xdr:row>3</xdr:row>
      <xdr:rowOff>138240</xdr:rowOff>
    </xdr:from>
    <xdr:to>
      <xdr:col>8</xdr:col>
      <xdr:colOff>223200</xdr:colOff>
      <xdr:row>3</xdr:row>
      <xdr:rowOff>146160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5171400" y="681120"/>
          <a:ext cx="588600" cy="8280"/>
        </a:xfrm>
        <a:prstGeom prst="straightConnector1">
          <a:avLst/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wnloads\DR%20reddy%20Financial%20Model%20Day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come Statement"/>
      <sheetName val="Balance Sheet"/>
      <sheetName val="Cash Flow"/>
      <sheetName val="Revenue Tab"/>
      <sheetName val="Expense Tab"/>
      <sheetName val="Current Asset"/>
      <sheetName val="Current Liability"/>
      <sheetName val="Change In WC"/>
      <sheetName val="D&amp;A"/>
      <sheetName val="DEBT"/>
      <sheetName val="Equity Sheduled"/>
      <sheetName val="Sheet3 (2)"/>
      <sheetName val="Sheet3"/>
    </sheetNames>
    <sheetDataSet>
      <sheetData sheetId="0" refreshError="1"/>
      <sheetData sheetId="1" refreshError="1">
        <row r="6">
          <cell r="B6" t="str">
            <v>Total revenue from operations</v>
          </cell>
        </row>
        <row r="7">
          <cell r="B7" t="str">
            <v>Y0Y</v>
          </cell>
        </row>
        <row r="9">
          <cell r="B9" t="str">
            <v>Other income</v>
          </cell>
        </row>
        <row r="10">
          <cell r="B10" t="str">
            <v>Total Revenue</v>
          </cell>
        </row>
        <row r="15">
          <cell r="B15" t="str">
            <v>Cost of materials consumed</v>
          </cell>
        </row>
        <row r="16">
          <cell r="B16" t="str">
            <v>Purchase of stock-in-trade</v>
          </cell>
        </row>
        <row r="18">
          <cell r="B18" t="str">
            <v>COGS</v>
          </cell>
        </row>
        <row r="22">
          <cell r="B22" t="str">
            <v>Employee benefits expense</v>
          </cell>
        </row>
        <row r="24">
          <cell r="B24" t="str">
            <v>Other expenses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"/>
  <sheetViews>
    <sheetView zoomScaleNormal="100" workbookViewId="0"/>
  </sheetViews>
  <sheetFormatPr defaultColWidth="8.6328125" defaultRowHeight="14.5" x14ac:dyDescent="0.35"/>
  <cols>
    <col min="4" max="4" width="17.81640625" customWidth="1"/>
  </cols>
  <sheetData>
    <row r="1" spans="2:10" x14ac:dyDescent="0.35">
      <c r="B1" t="s">
        <v>0</v>
      </c>
      <c r="C1" s="1" t="s">
        <v>1</v>
      </c>
      <c r="D1" t="s">
        <v>2</v>
      </c>
      <c r="G1" s="142" t="s">
        <v>3</v>
      </c>
      <c r="H1" s="142"/>
      <c r="I1" s="142"/>
      <c r="J1" s="142"/>
    </row>
    <row r="2" spans="2:10" x14ac:dyDescent="0.35">
      <c r="G2" s="2" t="s">
        <v>4</v>
      </c>
      <c r="H2" s="3"/>
      <c r="I2" s="3"/>
      <c r="J2" s="3"/>
    </row>
    <row r="3" spans="2:10" x14ac:dyDescent="0.35">
      <c r="B3" t="s">
        <v>0</v>
      </c>
      <c r="C3" s="4" t="s">
        <v>5</v>
      </c>
      <c r="D3" t="s">
        <v>6</v>
      </c>
      <c r="G3" s="143" t="s">
        <v>7</v>
      </c>
      <c r="H3" s="143"/>
      <c r="I3" s="143"/>
      <c r="J3" s="143"/>
    </row>
    <row r="4" spans="2:10" x14ac:dyDescent="0.35">
      <c r="G4" s="2" t="s">
        <v>4</v>
      </c>
      <c r="H4" s="5" t="s">
        <v>8</v>
      </c>
      <c r="I4" s="6" t="s">
        <v>9</v>
      </c>
      <c r="J4" s="7" t="s">
        <v>10</v>
      </c>
    </row>
    <row r="5" spans="2:10" x14ac:dyDescent="0.35">
      <c r="B5" t="s">
        <v>0</v>
      </c>
      <c r="C5" s="8" t="s">
        <v>11</v>
      </c>
      <c r="D5" t="s">
        <v>12</v>
      </c>
      <c r="G5" s="144" t="s">
        <v>13</v>
      </c>
      <c r="H5" s="144"/>
      <c r="I5" s="144"/>
      <c r="J5" s="144"/>
    </row>
    <row r="6" spans="2:10" x14ac:dyDescent="0.35">
      <c r="G6" s="9" t="s">
        <v>4</v>
      </c>
      <c r="H6" s="10" t="s">
        <v>8</v>
      </c>
      <c r="I6" s="5" t="s">
        <v>9</v>
      </c>
      <c r="J6" s="6" t="s">
        <v>10</v>
      </c>
    </row>
    <row r="7" spans="2:10" x14ac:dyDescent="0.35">
      <c r="B7" t="s">
        <v>0</v>
      </c>
      <c r="C7" s="11" t="s">
        <v>14</v>
      </c>
      <c r="D7" t="s">
        <v>15</v>
      </c>
      <c r="G7" s="145" t="s">
        <v>16</v>
      </c>
      <c r="H7" s="145"/>
      <c r="I7" s="145"/>
      <c r="J7" s="145"/>
    </row>
    <row r="8" spans="2:10" x14ac:dyDescent="0.35">
      <c r="G8" s="3" t="s">
        <v>4</v>
      </c>
      <c r="H8" s="3" t="s">
        <v>8</v>
      </c>
      <c r="I8" s="3" t="s">
        <v>9</v>
      </c>
      <c r="J8" s="3" t="s">
        <v>10</v>
      </c>
    </row>
    <row r="9" spans="2:10" ht="14.25" customHeight="1" x14ac:dyDescent="0.35">
      <c r="B9" t="s">
        <v>0</v>
      </c>
      <c r="C9" s="1" t="s">
        <v>1</v>
      </c>
      <c r="D9" s="146" t="s">
        <v>17</v>
      </c>
    </row>
    <row r="10" spans="2:10" x14ac:dyDescent="0.35">
      <c r="B10" t="s">
        <v>18</v>
      </c>
      <c r="C10" s="12"/>
      <c r="D10" s="146"/>
    </row>
  </sheetData>
  <mergeCells count="5">
    <mergeCell ref="G1:J1"/>
    <mergeCell ref="G3:J3"/>
    <mergeCell ref="G5:J5"/>
    <mergeCell ref="G7:J7"/>
    <mergeCell ref="D9:D1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7"/>
  <sheetViews>
    <sheetView zoomScale="70" zoomScaleNormal="70" workbookViewId="0">
      <pane xSplit="2" topLeftCell="C1" activePane="topRight" state="frozen"/>
      <selection activeCell="B1" sqref="B1"/>
      <selection pane="topRight" activeCell="AP16" sqref="AP16"/>
    </sheetView>
  </sheetViews>
  <sheetFormatPr defaultColWidth="8.6328125" defaultRowHeight="14.5" outlineLevelCol="1" x14ac:dyDescent="0.35"/>
  <cols>
    <col min="1" max="1" width="4.26953125" hidden="1" customWidth="1" outlineLevel="1"/>
    <col min="2" max="2" width="32" customWidth="1" collapsed="1"/>
    <col min="3" max="3" width="9.81640625" customWidth="1"/>
    <col min="4" max="7" width="10.26953125" hidden="1" customWidth="1" outlineLevel="1"/>
    <col min="8" max="8" width="9.81640625" customWidth="1" collapsed="1"/>
    <col min="9" max="12" width="10.26953125" hidden="1" customWidth="1" outlineLevel="1"/>
    <col min="13" max="13" width="9.81640625" customWidth="1" collapsed="1"/>
    <col min="14" max="17" width="10.26953125" hidden="1" customWidth="1" outlineLevel="1"/>
    <col min="18" max="18" width="9.81640625" customWidth="1" collapsed="1"/>
    <col min="19" max="22" width="10.26953125" hidden="1" customWidth="1" outlineLevel="1"/>
    <col min="23" max="23" width="9.81640625" customWidth="1" collapsed="1"/>
    <col min="24" max="24" width="10.26953125" hidden="1" customWidth="1" outlineLevel="1"/>
    <col min="25" max="27" width="11.90625" hidden="1" customWidth="1" outlineLevel="1"/>
    <col min="28" max="28" width="11.453125" customWidth="1" collapsed="1"/>
    <col min="29" max="32" width="11.453125" customWidth="1"/>
  </cols>
  <sheetData>
    <row r="1" spans="1:33" s="13" customFormat="1" x14ac:dyDescent="0.35">
      <c r="B1" s="14" t="s">
        <v>19</v>
      </c>
      <c r="C1" s="15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5" t="s">
        <v>25</v>
      </c>
      <c r="I1" s="16" t="s">
        <v>26</v>
      </c>
      <c r="J1" s="16" t="s">
        <v>27</v>
      </c>
      <c r="K1" s="16" t="s">
        <v>28</v>
      </c>
      <c r="L1" s="16" t="s">
        <v>29</v>
      </c>
      <c r="M1" s="15" t="s">
        <v>30</v>
      </c>
      <c r="N1" s="16" t="s">
        <v>31</v>
      </c>
      <c r="O1" s="16" t="s">
        <v>32</v>
      </c>
      <c r="P1" s="16" t="s">
        <v>33</v>
      </c>
      <c r="Q1" s="16" t="s">
        <v>34</v>
      </c>
      <c r="R1" s="15" t="s">
        <v>35</v>
      </c>
      <c r="S1" s="16" t="s">
        <v>36</v>
      </c>
      <c r="T1" s="16" t="s">
        <v>37</v>
      </c>
      <c r="U1" s="16" t="s">
        <v>38</v>
      </c>
      <c r="V1" s="16" t="s">
        <v>39</v>
      </c>
      <c r="W1" s="15" t="s">
        <v>40</v>
      </c>
      <c r="X1" s="17" t="s">
        <v>41</v>
      </c>
      <c r="Y1" s="14" t="s">
        <v>42</v>
      </c>
      <c r="Z1" s="14" t="s">
        <v>43</v>
      </c>
      <c r="AA1" s="14" t="s">
        <v>44</v>
      </c>
      <c r="AB1" s="14" t="s">
        <v>45</v>
      </c>
      <c r="AC1" s="14" t="s">
        <v>46</v>
      </c>
      <c r="AD1" s="14" t="s">
        <v>47</v>
      </c>
      <c r="AE1" s="14" t="s">
        <v>48</v>
      </c>
      <c r="AF1" s="14" t="s">
        <v>49</v>
      </c>
    </row>
    <row r="3" spans="1:33" x14ac:dyDescent="0.35">
      <c r="B3" s="3" t="s">
        <v>50</v>
      </c>
      <c r="C3" s="18">
        <v>288053</v>
      </c>
      <c r="D3" s="18">
        <v>66095</v>
      </c>
      <c r="E3" s="18">
        <v>78884</v>
      </c>
      <c r="F3" s="18">
        <v>97185</v>
      </c>
      <c r="G3" s="18">
        <v>77039</v>
      </c>
      <c r="H3" s="18">
        <v>319203</v>
      </c>
      <c r="I3" s="18">
        <v>77331</v>
      </c>
      <c r="J3" s="18">
        <v>81375</v>
      </c>
      <c r="K3" s="18">
        <v>98272</v>
      </c>
      <c r="L3" s="18">
        <v>83595</v>
      </c>
      <c r="M3" s="18">
        <v>340573</v>
      </c>
      <c r="N3" s="18">
        <v>82566</v>
      </c>
      <c r="O3" s="18">
        <v>86487</v>
      </c>
      <c r="P3" s="18">
        <v>99632</v>
      </c>
      <c r="Q3" s="18">
        <v>89124</v>
      </c>
      <c r="R3" s="18">
        <v>357809</v>
      </c>
      <c r="S3" s="18">
        <v>90607</v>
      </c>
      <c r="T3" s="18">
        <v>89059</v>
      </c>
      <c r="U3" s="18">
        <v>104948</v>
      </c>
      <c r="V3" s="18">
        <v>96305</v>
      </c>
      <c r="W3" s="18">
        <v>380919</v>
      </c>
      <c r="X3" s="18">
        <v>90409</v>
      </c>
      <c r="Y3" s="19">
        <f>'Revenue Tab'!Y2</f>
        <v>96323.040000000008</v>
      </c>
      <c r="Z3" s="19">
        <f>'Revenue Tab'!Z2</f>
        <v>112401.69600000001</v>
      </c>
      <c r="AA3" s="19">
        <f>'Revenue Tab'!AA2</f>
        <v>103932.576</v>
      </c>
      <c r="AB3" s="19">
        <f>'Revenue Tab'!AB2</f>
        <v>405225.31200000003</v>
      </c>
      <c r="AC3" s="19">
        <f>'Revenue Tab'!AC2</f>
        <v>427917.92947200005</v>
      </c>
      <c r="AD3" s="19">
        <f>'Revenue Tab'!AD2</f>
        <v>451881.33352243208</v>
      </c>
      <c r="AE3" s="19">
        <f>'Revenue Tab'!AE2</f>
        <v>477186.68819968827</v>
      </c>
      <c r="AF3" s="19">
        <f>'Revenue Tab'!AF2</f>
        <v>503909.14273887087</v>
      </c>
    </row>
    <row r="4" spans="1:33" x14ac:dyDescent="0.35">
      <c r="A4" t="s">
        <v>51</v>
      </c>
      <c r="B4" s="3" t="s">
        <v>52</v>
      </c>
      <c r="C4" s="18">
        <v>7027</v>
      </c>
      <c r="D4" s="18">
        <v>1072</v>
      </c>
      <c r="E4" s="18">
        <v>3761</v>
      </c>
      <c r="F4" s="18">
        <v>1663</v>
      </c>
      <c r="G4" s="18">
        <v>3029</v>
      </c>
      <c r="H4" s="18">
        <v>9525</v>
      </c>
      <c r="I4" s="18">
        <v>633</v>
      </c>
      <c r="J4" s="18">
        <v>4199</v>
      </c>
      <c r="K4" s="18">
        <v>686</v>
      </c>
      <c r="L4" s="18">
        <v>1375</v>
      </c>
      <c r="M4" s="18">
        <v>6893</v>
      </c>
      <c r="N4" s="18">
        <v>828</v>
      </c>
      <c r="O4" s="18">
        <v>1111</v>
      </c>
      <c r="P4" s="18">
        <v>1671</v>
      </c>
      <c r="Q4" s="18">
        <v>1070</v>
      </c>
      <c r="R4" s="18">
        <v>4680</v>
      </c>
      <c r="S4" s="18">
        <v>1046</v>
      </c>
      <c r="T4" s="18">
        <v>2156</v>
      </c>
      <c r="U4" s="18">
        <v>1493</v>
      </c>
      <c r="V4" s="18">
        <v>2116</v>
      </c>
      <c r="W4" s="18">
        <v>6811</v>
      </c>
      <c r="X4" s="18">
        <v>2159</v>
      </c>
      <c r="Y4" s="19">
        <f>'Revenue Tab'!Y9</f>
        <v>1926.4608000000003</v>
      </c>
      <c r="Z4" s="19">
        <f>'Revenue Tab'!Z9</f>
        <v>2248.0339200000003</v>
      </c>
      <c r="AA4" s="19">
        <f>'Revenue Tab'!AA9</f>
        <v>2078.6515199999999</v>
      </c>
      <c r="AB4" s="19">
        <f>'Revenue Tab'!AB9</f>
        <v>8412.14624</v>
      </c>
      <c r="AC4" s="19">
        <f>'Revenue Tab'!AC9</f>
        <v>8558.3585894400003</v>
      </c>
      <c r="AD4" s="19">
        <f>'Revenue Tab'!AD9</f>
        <v>9037.6266704486425</v>
      </c>
      <c r="AE4" s="19">
        <f>'Revenue Tab'!AE9</f>
        <v>9543.733763993765</v>
      </c>
      <c r="AF4" s="19">
        <f>'Revenue Tab'!AF9</f>
        <v>10078.182854777418</v>
      </c>
    </row>
    <row r="5" spans="1:33" s="20" customFormat="1" x14ac:dyDescent="0.35">
      <c r="A5" s="20" t="s">
        <v>51</v>
      </c>
      <c r="B5" s="17" t="s">
        <v>53</v>
      </c>
      <c r="C5" s="16">
        <f t="shared" ref="C5:X5" si="0">C3+C4</f>
        <v>295080</v>
      </c>
      <c r="D5" s="16">
        <f t="shared" si="0"/>
        <v>67167</v>
      </c>
      <c r="E5" s="16">
        <f t="shared" si="0"/>
        <v>82645</v>
      </c>
      <c r="F5" s="16">
        <f t="shared" si="0"/>
        <v>98848</v>
      </c>
      <c r="G5" s="16">
        <f t="shared" si="0"/>
        <v>80068</v>
      </c>
      <c r="H5" s="16">
        <f t="shared" si="0"/>
        <v>328728</v>
      </c>
      <c r="I5" s="16">
        <f t="shared" si="0"/>
        <v>77964</v>
      </c>
      <c r="J5" s="16">
        <f t="shared" si="0"/>
        <v>85574</v>
      </c>
      <c r="K5" s="16">
        <f t="shared" si="0"/>
        <v>98958</v>
      </c>
      <c r="L5" s="16">
        <f t="shared" si="0"/>
        <v>84970</v>
      </c>
      <c r="M5" s="16">
        <f t="shared" si="0"/>
        <v>347466</v>
      </c>
      <c r="N5" s="16">
        <f t="shared" si="0"/>
        <v>83394</v>
      </c>
      <c r="O5" s="16">
        <f t="shared" si="0"/>
        <v>87598</v>
      </c>
      <c r="P5" s="16">
        <f t="shared" si="0"/>
        <v>101303</v>
      </c>
      <c r="Q5" s="16">
        <f t="shared" si="0"/>
        <v>90194</v>
      </c>
      <c r="R5" s="16">
        <f t="shared" si="0"/>
        <v>362489</v>
      </c>
      <c r="S5" s="16">
        <f t="shared" si="0"/>
        <v>91653</v>
      </c>
      <c r="T5" s="16">
        <f t="shared" si="0"/>
        <v>91215</v>
      </c>
      <c r="U5" s="16">
        <f t="shared" si="0"/>
        <v>106441</v>
      </c>
      <c r="V5" s="16">
        <f t="shared" si="0"/>
        <v>98421</v>
      </c>
      <c r="W5" s="16">
        <f t="shared" si="0"/>
        <v>387730</v>
      </c>
      <c r="X5" s="16">
        <f t="shared" si="0"/>
        <v>92568</v>
      </c>
      <c r="Y5" s="21">
        <f>'Revenue Tab'!Y11</f>
        <v>98249.500800000009</v>
      </c>
      <c r="Z5" s="21">
        <f>'Revenue Tab'!Z11</f>
        <v>114649.72992000001</v>
      </c>
      <c r="AA5" s="21">
        <f>'Revenue Tab'!AA11</f>
        <v>106011.22752</v>
      </c>
      <c r="AB5" s="21">
        <f>'Revenue Tab'!AB11</f>
        <v>413637.45824000001</v>
      </c>
      <c r="AC5" s="21">
        <f>'Revenue Tab'!AC11</f>
        <v>436476.28806144005</v>
      </c>
      <c r="AD5" s="21">
        <f>'Revenue Tab'!AD11</f>
        <v>460918.96019288071</v>
      </c>
      <c r="AE5" s="21">
        <f>'Revenue Tab'!AE11</f>
        <v>486730.42196368205</v>
      </c>
      <c r="AF5" s="21">
        <f>'Revenue Tab'!AF11</f>
        <v>513987.3255936483</v>
      </c>
    </row>
    <row r="6" spans="1:33" s="22" customFormat="1" x14ac:dyDescent="0.35">
      <c r="B6" s="17" t="s">
        <v>54</v>
      </c>
      <c r="C6" s="16"/>
      <c r="D6" s="16"/>
      <c r="E6" s="16"/>
      <c r="F6" s="16"/>
      <c r="G6" s="16"/>
      <c r="H6" s="23">
        <f t="shared" ref="H6:W6" si="1">H5/C5-1</f>
        <v>0.11403009353395688</v>
      </c>
      <c r="I6" s="23">
        <f t="shared" si="1"/>
        <v>0.16074858189289376</v>
      </c>
      <c r="J6" s="23">
        <f t="shared" si="1"/>
        <v>3.5440740516667679E-2</v>
      </c>
      <c r="K6" s="24">
        <f t="shared" si="1"/>
        <v>1.1128196827452363E-3</v>
      </c>
      <c r="L6" s="23">
        <f t="shared" si="1"/>
        <v>6.1222960483588995E-2</v>
      </c>
      <c r="M6" s="23">
        <f t="shared" si="1"/>
        <v>5.7001533182448716E-2</v>
      </c>
      <c r="N6" s="23">
        <f t="shared" si="1"/>
        <v>6.9647529629059513E-2</v>
      </c>
      <c r="O6" s="23">
        <f t="shared" si="1"/>
        <v>2.3652043845093118E-2</v>
      </c>
      <c r="P6" s="23">
        <f t="shared" si="1"/>
        <v>2.3696921926473768E-2</v>
      </c>
      <c r="Q6" s="23">
        <f t="shared" si="1"/>
        <v>6.1480522537366022E-2</v>
      </c>
      <c r="R6" s="23">
        <f t="shared" si="1"/>
        <v>4.3235884949894388E-2</v>
      </c>
      <c r="S6" s="23">
        <f t="shared" si="1"/>
        <v>9.9035901863443465E-2</v>
      </c>
      <c r="T6" s="23">
        <f t="shared" si="1"/>
        <v>4.1290897052444153E-2</v>
      </c>
      <c r="U6" s="23">
        <f t="shared" si="1"/>
        <v>5.071912973949444E-2</v>
      </c>
      <c r="V6" s="23">
        <f t="shared" si="1"/>
        <v>9.1214493203539027E-2</v>
      </c>
      <c r="W6" s="23">
        <f t="shared" si="1"/>
        <v>6.9632457812512927E-2</v>
      </c>
      <c r="X6" s="23">
        <f>X5/S5-1</f>
        <v>9.9833066020751371E-3</v>
      </c>
      <c r="Y6" s="23"/>
      <c r="Z6" s="23"/>
      <c r="AA6" s="23"/>
      <c r="AB6" s="23"/>
      <c r="AC6" s="23"/>
      <c r="AD6" s="23"/>
      <c r="AE6" s="23"/>
      <c r="AF6" s="23"/>
    </row>
    <row r="7" spans="1:33" s="20" customFormat="1" x14ac:dyDescent="0.35">
      <c r="A7" s="25"/>
      <c r="B7" s="17" t="s">
        <v>55</v>
      </c>
      <c r="C7" s="16"/>
      <c r="D7" s="16"/>
      <c r="E7" s="23">
        <f>E5/D5-1</f>
        <v>0.23044054371938594</v>
      </c>
      <c r="F7" s="23">
        <f>F5/E5-1</f>
        <v>0.19605541775062019</v>
      </c>
      <c r="G7" s="23">
        <f>G5/F5-1</f>
        <v>-0.18998866947232118</v>
      </c>
      <c r="H7" s="23"/>
      <c r="I7" s="23"/>
      <c r="J7" s="23">
        <f>J5/I5-1</f>
        <v>9.7609152942383703E-2</v>
      </c>
      <c r="K7" s="23">
        <f>K5/J5-1</f>
        <v>0.15640264566340245</v>
      </c>
      <c r="L7" s="23">
        <f>L5/K5-1</f>
        <v>-0.14135289718870636</v>
      </c>
      <c r="M7" s="23"/>
      <c r="N7" s="23"/>
      <c r="O7" s="23">
        <f>O5/N5-1</f>
        <v>5.0411300573182771E-2</v>
      </c>
      <c r="P7" s="23">
        <f>P5/O5-1</f>
        <v>0.15645334368364572</v>
      </c>
      <c r="Q7" s="23">
        <f>Q5/P5-1</f>
        <v>-0.10966111566291226</v>
      </c>
      <c r="R7" s="23"/>
      <c r="S7" s="23"/>
      <c r="T7" s="23">
        <f>T5/S5-1</f>
        <v>-4.7788943078785895E-3</v>
      </c>
      <c r="U7" s="23">
        <f>U5/T5-1</f>
        <v>0.16692429973140377</v>
      </c>
      <c r="V7" s="23">
        <f>V5/U5-1</f>
        <v>-7.5346905797577968E-2</v>
      </c>
      <c r="W7" s="23"/>
      <c r="X7" s="23">
        <f>X5/W5-1</f>
        <v>-0.76125654450261782</v>
      </c>
      <c r="Y7" s="23"/>
      <c r="Z7" s="23"/>
      <c r="AA7" s="23"/>
      <c r="AB7" s="23"/>
      <c r="AC7" s="23"/>
      <c r="AD7" s="23"/>
      <c r="AE7" s="23"/>
      <c r="AF7" s="23"/>
    </row>
    <row r="8" spans="1:33" x14ac:dyDescent="0.35">
      <c r="A8" s="26"/>
      <c r="B8" s="3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27"/>
      <c r="Z8" s="27"/>
      <c r="AA8" s="27"/>
      <c r="AB8" s="27"/>
      <c r="AC8" s="27"/>
      <c r="AD8" s="27"/>
      <c r="AE8" s="27"/>
      <c r="AF8" s="27"/>
    </row>
    <row r="9" spans="1:33" s="28" customFormat="1" x14ac:dyDescent="0.35">
      <c r="A9" s="28" t="s">
        <v>51</v>
      </c>
      <c r="B9" s="29" t="s">
        <v>56</v>
      </c>
      <c r="C9" s="29">
        <f t="shared" ref="C9:AF9" si="2">C3+C4</f>
        <v>295080</v>
      </c>
      <c r="D9" s="29">
        <f t="shared" si="2"/>
        <v>67167</v>
      </c>
      <c r="E9" s="29">
        <f t="shared" si="2"/>
        <v>82645</v>
      </c>
      <c r="F9" s="29">
        <f t="shared" si="2"/>
        <v>98848</v>
      </c>
      <c r="G9" s="29">
        <f t="shared" si="2"/>
        <v>80068</v>
      </c>
      <c r="H9" s="29">
        <f t="shared" si="2"/>
        <v>328728</v>
      </c>
      <c r="I9" s="29">
        <f t="shared" si="2"/>
        <v>77964</v>
      </c>
      <c r="J9" s="29">
        <f t="shared" si="2"/>
        <v>85574</v>
      </c>
      <c r="K9" s="29">
        <f t="shared" si="2"/>
        <v>98958</v>
      </c>
      <c r="L9" s="29">
        <f t="shared" si="2"/>
        <v>84970</v>
      </c>
      <c r="M9" s="29">
        <f t="shared" si="2"/>
        <v>347466</v>
      </c>
      <c r="N9" s="29">
        <f t="shared" si="2"/>
        <v>83394</v>
      </c>
      <c r="O9" s="29">
        <f t="shared" si="2"/>
        <v>87598</v>
      </c>
      <c r="P9" s="29">
        <f t="shared" si="2"/>
        <v>101303</v>
      </c>
      <c r="Q9" s="29">
        <f t="shared" si="2"/>
        <v>90194</v>
      </c>
      <c r="R9" s="29">
        <f t="shared" si="2"/>
        <v>362489</v>
      </c>
      <c r="S9" s="29">
        <f t="shared" si="2"/>
        <v>91653</v>
      </c>
      <c r="T9" s="29">
        <f t="shared" si="2"/>
        <v>91215</v>
      </c>
      <c r="U9" s="29">
        <f t="shared" si="2"/>
        <v>106441</v>
      </c>
      <c r="V9" s="29">
        <f t="shared" si="2"/>
        <v>98421</v>
      </c>
      <c r="W9" s="29">
        <f t="shared" si="2"/>
        <v>387730</v>
      </c>
      <c r="X9" s="29">
        <f t="shared" si="2"/>
        <v>92568</v>
      </c>
      <c r="Y9" s="30">
        <f t="shared" si="2"/>
        <v>98249.500800000009</v>
      </c>
      <c r="Z9" s="30">
        <f t="shared" si="2"/>
        <v>114649.72992000001</v>
      </c>
      <c r="AA9" s="30">
        <f t="shared" si="2"/>
        <v>106011.22752</v>
      </c>
      <c r="AB9" s="30">
        <f t="shared" si="2"/>
        <v>413637.45824000001</v>
      </c>
      <c r="AC9" s="30">
        <f t="shared" si="2"/>
        <v>436476.28806144005</v>
      </c>
      <c r="AD9" s="30">
        <f t="shared" si="2"/>
        <v>460918.96019288071</v>
      </c>
      <c r="AE9" s="30">
        <f t="shared" si="2"/>
        <v>486730.42196368205</v>
      </c>
      <c r="AF9" s="30">
        <f t="shared" si="2"/>
        <v>513987.3255936483</v>
      </c>
    </row>
    <row r="10" spans="1:33" x14ac:dyDescent="0.35">
      <c r="A10" s="13"/>
      <c r="B10" s="3" t="s">
        <v>57</v>
      </c>
      <c r="C10" s="18">
        <v>70855</v>
      </c>
      <c r="D10" s="18">
        <v>18394</v>
      </c>
      <c r="E10" s="18">
        <v>24793</v>
      </c>
      <c r="F10" s="18">
        <v>24356</v>
      </c>
      <c r="G10" s="18">
        <v>22487</v>
      </c>
      <c r="H10" s="18">
        <v>90030</v>
      </c>
      <c r="I10" s="18">
        <v>16342</v>
      </c>
      <c r="J10" s="18">
        <v>24765</v>
      </c>
      <c r="K10" s="18">
        <v>23419</v>
      </c>
      <c r="L10" s="18">
        <v>18446</v>
      </c>
      <c r="M10" s="18">
        <v>82474</v>
      </c>
      <c r="N10" s="18">
        <v>16395</v>
      </c>
      <c r="O10" s="18">
        <v>21471</v>
      </c>
      <c r="P10" s="18">
        <v>20292</v>
      </c>
      <c r="Q10" s="18">
        <v>18726</v>
      </c>
      <c r="R10" s="18">
        <v>76884</v>
      </c>
      <c r="S10" s="18">
        <v>13994</v>
      </c>
      <c r="T10" s="18">
        <v>20737</v>
      </c>
      <c r="U10" s="18">
        <v>21468</v>
      </c>
      <c r="V10" s="18">
        <v>16214</v>
      </c>
      <c r="W10" s="18">
        <v>72413</v>
      </c>
      <c r="X10" s="18">
        <v>16356</v>
      </c>
      <c r="Y10" s="19">
        <f>'Expense Tab'!Y2</f>
        <v>18294.057048960003</v>
      </c>
      <c r="Z10" s="19">
        <f>'Expense Tab'!Z2</f>
        <v>21347.779711104002</v>
      </c>
      <c r="AA10" s="19">
        <f>'Expense Tab'!AA2</f>
        <v>19739.290564224</v>
      </c>
      <c r="AB10" s="19">
        <f>'Expense Tab'!AB2</f>
        <v>75737.127324288012</v>
      </c>
      <c r="AC10" s="19">
        <f>'Expense Tab'!AC2</f>
        <v>81271.884837040139</v>
      </c>
      <c r="AD10" s="19">
        <f>'Expense Tab'!AD2</f>
        <v>85823.110387914392</v>
      </c>
      <c r="AE10" s="19">
        <f>'Expense Tab'!AE2</f>
        <v>90629.204569637601</v>
      </c>
      <c r="AF10" s="19">
        <f>'Expense Tab'!AF2</f>
        <v>95704.440025537318</v>
      </c>
    </row>
    <row r="11" spans="1:33" x14ac:dyDescent="0.35">
      <c r="A11" s="13"/>
      <c r="B11" s="3" t="s">
        <v>58</v>
      </c>
      <c r="C11" s="18">
        <v>24009</v>
      </c>
      <c r="D11" s="18">
        <v>4331</v>
      </c>
      <c r="E11" s="18">
        <v>2754</v>
      </c>
      <c r="F11" s="18">
        <v>4800</v>
      </c>
      <c r="G11" s="18">
        <v>10462</v>
      </c>
      <c r="H11" s="18">
        <v>22347</v>
      </c>
      <c r="I11" s="18">
        <v>6585</v>
      </c>
      <c r="J11" s="18">
        <v>7536</v>
      </c>
      <c r="K11" s="18">
        <v>6208</v>
      </c>
      <c r="L11" s="18">
        <v>13640</v>
      </c>
      <c r="M11" s="18">
        <v>33969</v>
      </c>
      <c r="N11" s="18">
        <v>9852</v>
      </c>
      <c r="O11" s="18">
        <v>9053</v>
      </c>
      <c r="P11" s="18">
        <v>8994</v>
      </c>
      <c r="Q11" s="18">
        <v>12824</v>
      </c>
      <c r="R11" s="18">
        <v>40723</v>
      </c>
      <c r="S11" s="18">
        <v>11388</v>
      </c>
      <c r="T11" s="18">
        <v>9938</v>
      </c>
      <c r="U11" s="18">
        <v>8682</v>
      </c>
      <c r="V11" s="18">
        <v>14824</v>
      </c>
      <c r="W11" s="18">
        <v>44832</v>
      </c>
      <c r="X11" s="18">
        <v>10857</v>
      </c>
      <c r="Y11" s="19">
        <f>'Expense Tab'!Y4</f>
        <v>9628.4510784000013</v>
      </c>
      <c r="Z11" s="19">
        <f>'Expense Tab'!Z4</f>
        <v>11235.673532160001</v>
      </c>
      <c r="AA11" s="19">
        <f>'Expense Tab'!AA4</f>
        <v>10389.100296960001</v>
      </c>
      <c r="AB11" s="19">
        <f>'Expense Tab'!AB4</f>
        <v>42110.224907520002</v>
      </c>
      <c r="AC11" s="19">
        <f>'Expense Tab'!AC4</f>
        <v>42774.676230021127</v>
      </c>
      <c r="AD11" s="19">
        <f>'Expense Tab'!AD4</f>
        <v>45170.058098902315</v>
      </c>
      <c r="AE11" s="19">
        <f>'Expense Tab'!AE4</f>
        <v>47699.581352440844</v>
      </c>
      <c r="AF11" s="19">
        <f>'Expense Tab'!AF4</f>
        <v>50370.757908177533</v>
      </c>
    </row>
    <row r="12" spans="1:33" x14ac:dyDescent="0.35">
      <c r="A12" s="13"/>
      <c r="B12" s="3" t="s">
        <v>59</v>
      </c>
      <c r="C12" s="18">
        <v>-1940</v>
      </c>
      <c r="D12" s="18">
        <v>-263</v>
      </c>
      <c r="E12" s="18">
        <v>-2909</v>
      </c>
      <c r="F12" s="18">
        <v>2543</v>
      </c>
      <c r="G12" s="18">
        <v>-3960</v>
      </c>
      <c r="H12" s="18">
        <v>-4589</v>
      </c>
      <c r="I12" s="18">
        <v>6180</v>
      </c>
      <c r="J12" s="18">
        <v>-5144</v>
      </c>
      <c r="K12" s="18">
        <v>3926</v>
      </c>
      <c r="L12" s="18">
        <v>-1269</v>
      </c>
      <c r="M12" s="18">
        <v>3693</v>
      </c>
      <c r="N12" s="18">
        <v>2312</v>
      </c>
      <c r="O12" s="18">
        <v>-4654</v>
      </c>
      <c r="P12" s="18">
        <v>1835</v>
      </c>
      <c r="Q12" s="18">
        <v>-1055</v>
      </c>
      <c r="R12" s="18">
        <v>-1553</v>
      </c>
      <c r="S12" s="18">
        <v>3915</v>
      </c>
      <c r="T12" s="18">
        <v>-4573</v>
      </c>
      <c r="U12" s="18">
        <v>1031</v>
      </c>
      <c r="V12" s="18">
        <v>1805</v>
      </c>
      <c r="W12" s="18">
        <v>2178</v>
      </c>
      <c r="X12" s="18">
        <v>433</v>
      </c>
      <c r="Y12" s="19">
        <f>'Expense Tab'!Y6</f>
        <v>20219.747264640002</v>
      </c>
      <c r="Z12" s="19">
        <f>'Expense Tab'!Z6</f>
        <v>23594.914417536002</v>
      </c>
      <c r="AA12" s="19">
        <f>'Expense Tab'!AA6</f>
        <v>21817.110623615998</v>
      </c>
      <c r="AB12" s="19">
        <f>'Expense Tab'!AB6</f>
        <v>66064.772305791994</v>
      </c>
      <c r="AC12" s="19">
        <f>'Expense Tab'!AC6</f>
        <v>89826.820083044367</v>
      </c>
      <c r="AD12" s="19">
        <f>'Expense Tab'!AD6</f>
        <v>94857.122007694838</v>
      </c>
      <c r="AE12" s="19">
        <f>'Expense Tab'!AE6</f>
        <v>100169.12084012575</v>
      </c>
      <c r="AF12" s="19">
        <f>'Expense Tab'!AF6</f>
        <v>105778.59160717281</v>
      </c>
    </row>
    <row r="13" spans="1:33" x14ac:dyDescent="0.35">
      <c r="A13" s="13"/>
      <c r="B13" s="3" t="s">
        <v>60</v>
      </c>
      <c r="C13" s="18">
        <v>45813</v>
      </c>
      <c r="D13" s="18">
        <v>10986</v>
      </c>
      <c r="E13" s="18">
        <v>10532</v>
      </c>
      <c r="F13" s="18">
        <v>15825</v>
      </c>
      <c r="G13" s="18">
        <v>14947</v>
      </c>
      <c r="H13" s="18">
        <v>52290</v>
      </c>
      <c r="I13" s="18">
        <v>13630</v>
      </c>
      <c r="J13" s="18">
        <v>14148</v>
      </c>
      <c r="K13" s="18">
        <v>15326</v>
      </c>
      <c r="L13" s="18">
        <v>12966</v>
      </c>
      <c r="M13" s="18">
        <v>56070</v>
      </c>
      <c r="N13" s="18">
        <v>15187</v>
      </c>
      <c r="O13" s="18">
        <v>15441</v>
      </c>
      <c r="P13" s="18">
        <v>16573</v>
      </c>
      <c r="Q13" s="18">
        <v>18019</v>
      </c>
      <c r="R13" s="18">
        <v>65220</v>
      </c>
      <c r="S13" s="18">
        <v>18369</v>
      </c>
      <c r="T13" s="18">
        <v>14572</v>
      </c>
      <c r="U13" s="18">
        <v>17573</v>
      </c>
      <c r="V13" s="18">
        <v>18888</v>
      </c>
      <c r="W13" s="18">
        <v>69402</v>
      </c>
      <c r="X13" s="18">
        <v>17975</v>
      </c>
      <c r="Y13" s="19">
        <f>'Expense Tab'!Y7</f>
        <v>16368.366833280003</v>
      </c>
      <c r="Z13" s="19">
        <f>'Expense Tab'!Z7</f>
        <v>19100.645004672002</v>
      </c>
      <c r="AA13" s="19">
        <f>'Expense Tab'!AA7</f>
        <v>17661.470504831999</v>
      </c>
      <c r="AB13" s="19">
        <f>'Expense Tab'!AB7</f>
        <v>71105.482342784002</v>
      </c>
      <c r="AC13" s="19">
        <f>'Expense Tab'!AC7</f>
        <v>72716.949591035911</v>
      </c>
      <c r="AD13" s="19">
        <f>'Expense Tab'!AD7</f>
        <v>76789.098768133932</v>
      </c>
      <c r="AE13" s="19">
        <f>'Expense Tab'!AE7</f>
        <v>81089.288299149426</v>
      </c>
      <c r="AF13" s="19">
        <f>'Expense Tab'!AF7</f>
        <v>85630.288443901809</v>
      </c>
    </row>
    <row r="14" spans="1:33" s="20" customFormat="1" x14ac:dyDescent="0.35">
      <c r="B14" s="17" t="s">
        <v>61</v>
      </c>
      <c r="C14" s="16">
        <f t="shared" ref="C14:X14" si="3">C10+C11+C12+C13</f>
        <v>138737</v>
      </c>
      <c r="D14" s="16">
        <f t="shared" si="3"/>
        <v>33448</v>
      </c>
      <c r="E14" s="16">
        <f t="shared" si="3"/>
        <v>35170</v>
      </c>
      <c r="F14" s="16">
        <f t="shared" si="3"/>
        <v>47524</v>
      </c>
      <c r="G14" s="16">
        <f t="shared" si="3"/>
        <v>43936</v>
      </c>
      <c r="H14" s="16">
        <f t="shared" si="3"/>
        <v>160078</v>
      </c>
      <c r="I14" s="16">
        <f t="shared" si="3"/>
        <v>42737</v>
      </c>
      <c r="J14" s="16">
        <f t="shared" si="3"/>
        <v>41305</v>
      </c>
      <c r="K14" s="16">
        <f t="shared" si="3"/>
        <v>48879</v>
      </c>
      <c r="L14" s="16">
        <f t="shared" si="3"/>
        <v>43783</v>
      </c>
      <c r="M14" s="16">
        <f t="shared" si="3"/>
        <v>176206</v>
      </c>
      <c r="N14" s="16">
        <f t="shared" si="3"/>
        <v>43746</v>
      </c>
      <c r="O14" s="16">
        <f t="shared" si="3"/>
        <v>41311</v>
      </c>
      <c r="P14" s="16">
        <f t="shared" si="3"/>
        <v>47694</v>
      </c>
      <c r="Q14" s="16">
        <f t="shared" si="3"/>
        <v>48514</v>
      </c>
      <c r="R14" s="16">
        <f t="shared" si="3"/>
        <v>181274</v>
      </c>
      <c r="S14" s="16">
        <f t="shared" si="3"/>
        <v>47666</v>
      </c>
      <c r="T14" s="16">
        <f t="shared" si="3"/>
        <v>40674</v>
      </c>
      <c r="U14" s="16">
        <f t="shared" si="3"/>
        <v>48754</v>
      </c>
      <c r="V14" s="16">
        <f t="shared" si="3"/>
        <v>51731</v>
      </c>
      <c r="W14" s="16">
        <f t="shared" si="3"/>
        <v>188825</v>
      </c>
      <c r="X14" s="16">
        <f t="shared" si="3"/>
        <v>45621</v>
      </c>
      <c r="Y14" s="21">
        <f>'Expense Tab'!Y9</f>
        <v>48142.255392000006</v>
      </c>
      <c r="Z14" s="21">
        <f>'Expense Tab'!Z9</f>
        <v>56178.367660800002</v>
      </c>
      <c r="AA14" s="21">
        <f>'Expense Tab'!AA9</f>
        <v>51945.501484799999</v>
      </c>
      <c r="AB14" s="21">
        <f>'Expense Tab'!AB9</f>
        <v>201887.12453760003</v>
      </c>
      <c r="AC14" s="21">
        <f>'Expense Tab'!AC9</f>
        <v>213873.38115010562</v>
      </c>
      <c r="AD14" s="21">
        <f>'Expense Tab'!AD9</f>
        <v>225850.29049451154</v>
      </c>
      <c r="AE14" s="21">
        <f>'Expense Tab'!AE9</f>
        <v>238497.90676220419</v>
      </c>
      <c r="AF14" s="21">
        <f>'Expense Tab'!AF9</f>
        <v>251853.78954088766</v>
      </c>
    </row>
    <row r="15" spans="1:33" s="20" customFormat="1" x14ac:dyDescent="0.35">
      <c r="B15" s="17" t="s">
        <v>62</v>
      </c>
      <c r="C15" s="16">
        <f t="shared" ref="C15:AF15" si="4">C5-C14</f>
        <v>156343</v>
      </c>
      <c r="D15" s="16">
        <f t="shared" si="4"/>
        <v>33719</v>
      </c>
      <c r="E15" s="16">
        <f t="shared" si="4"/>
        <v>47475</v>
      </c>
      <c r="F15" s="16">
        <f t="shared" si="4"/>
        <v>51324</v>
      </c>
      <c r="G15" s="16">
        <f t="shared" si="4"/>
        <v>36132</v>
      </c>
      <c r="H15" s="16">
        <f t="shared" si="4"/>
        <v>168650</v>
      </c>
      <c r="I15" s="16">
        <f t="shared" si="4"/>
        <v>35227</v>
      </c>
      <c r="J15" s="16">
        <f t="shared" si="4"/>
        <v>44269</v>
      </c>
      <c r="K15" s="16">
        <f t="shared" si="4"/>
        <v>50079</v>
      </c>
      <c r="L15" s="16">
        <f t="shared" si="4"/>
        <v>41187</v>
      </c>
      <c r="M15" s="16">
        <f t="shared" si="4"/>
        <v>171260</v>
      </c>
      <c r="N15" s="16">
        <f t="shared" si="4"/>
        <v>39648</v>
      </c>
      <c r="O15" s="16">
        <f t="shared" si="4"/>
        <v>46287</v>
      </c>
      <c r="P15" s="16">
        <f t="shared" si="4"/>
        <v>53609</v>
      </c>
      <c r="Q15" s="16">
        <f t="shared" si="4"/>
        <v>41680</v>
      </c>
      <c r="R15" s="16">
        <f t="shared" si="4"/>
        <v>181215</v>
      </c>
      <c r="S15" s="16">
        <f t="shared" si="4"/>
        <v>43987</v>
      </c>
      <c r="T15" s="16">
        <f t="shared" si="4"/>
        <v>50541</v>
      </c>
      <c r="U15" s="16">
        <f t="shared" si="4"/>
        <v>57687</v>
      </c>
      <c r="V15" s="16">
        <f t="shared" si="4"/>
        <v>46690</v>
      </c>
      <c r="W15" s="16">
        <f t="shared" si="4"/>
        <v>198905</v>
      </c>
      <c r="X15" s="16">
        <f t="shared" si="4"/>
        <v>46947</v>
      </c>
      <c r="Y15" s="21">
        <f t="shared" si="4"/>
        <v>50107.245408000002</v>
      </c>
      <c r="Z15" s="21">
        <f t="shared" si="4"/>
        <v>58471.36225920001</v>
      </c>
      <c r="AA15" s="21">
        <f t="shared" si="4"/>
        <v>54065.726035200001</v>
      </c>
      <c r="AB15" s="21">
        <f t="shared" si="4"/>
        <v>211750.33370239998</v>
      </c>
      <c r="AC15" s="21">
        <f t="shared" si="4"/>
        <v>222602.90691133443</v>
      </c>
      <c r="AD15" s="21">
        <f t="shared" si="4"/>
        <v>235068.66969836917</v>
      </c>
      <c r="AE15" s="21">
        <f t="shared" si="4"/>
        <v>248232.51520147786</v>
      </c>
      <c r="AF15" s="21">
        <f t="shared" si="4"/>
        <v>262133.53605276064</v>
      </c>
      <c r="AG15" s="16"/>
    </row>
    <row r="16" spans="1:33" s="20" customFormat="1" x14ac:dyDescent="0.35">
      <c r="B16" s="17" t="s">
        <v>63</v>
      </c>
      <c r="C16" s="23">
        <f t="shared" ref="C16:AF16" si="5">C15/C5</f>
        <v>0.5298325877728074</v>
      </c>
      <c r="D16" s="23">
        <f t="shared" si="5"/>
        <v>0.50201735971533645</v>
      </c>
      <c r="E16" s="23">
        <f t="shared" si="5"/>
        <v>0.57444491499788253</v>
      </c>
      <c r="F16" s="23">
        <f t="shared" si="5"/>
        <v>0.51922143088378114</v>
      </c>
      <c r="G16" s="23">
        <f t="shared" si="5"/>
        <v>0.45126642353999102</v>
      </c>
      <c r="H16" s="23">
        <f t="shared" si="5"/>
        <v>0.51303813487138306</v>
      </c>
      <c r="I16" s="23">
        <f t="shared" si="5"/>
        <v>0.45183674516443489</v>
      </c>
      <c r="J16" s="23">
        <f t="shared" si="5"/>
        <v>0.5173183443569308</v>
      </c>
      <c r="K16" s="23">
        <f t="shared" si="5"/>
        <v>0.50606317831807435</v>
      </c>
      <c r="L16" s="23">
        <f t="shared" si="5"/>
        <v>0.48472402024243849</v>
      </c>
      <c r="M16" s="23">
        <f t="shared" si="5"/>
        <v>0.49288275687405386</v>
      </c>
      <c r="N16" s="23">
        <f t="shared" si="5"/>
        <v>0.47542988704223327</v>
      </c>
      <c r="O16" s="23">
        <f t="shared" si="5"/>
        <v>0.52840247494235026</v>
      </c>
      <c r="P16" s="23">
        <f t="shared" si="5"/>
        <v>0.52919459443451822</v>
      </c>
      <c r="Q16" s="23">
        <f t="shared" si="5"/>
        <v>0.46211499656296429</v>
      </c>
      <c r="R16" s="23">
        <f t="shared" si="5"/>
        <v>0.49991861822013911</v>
      </c>
      <c r="S16" s="23">
        <f t="shared" si="5"/>
        <v>0.47992973497866953</v>
      </c>
      <c r="T16" s="23">
        <f t="shared" si="5"/>
        <v>0.55408649893109685</v>
      </c>
      <c r="U16" s="23">
        <f t="shared" si="5"/>
        <v>0.54196221380858878</v>
      </c>
      <c r="V16" s="23">
        <f t="shared" si="5"/>
        <v>0.4743906280163786</v>
      </c>
      <c r="W16" s="23">
        <f t="shared" si="5"/>
        <v>0.51299873623397729</v>
      </c>
      <c r="X16" s="23">
        <f t="shared" si="5"/>
        <v>0.50716230230749282</v>
      </c>
      <c r="Y16" s="23">
        <f t="shared" si="5"/>
        <v>0.51</v>
      </c>
      <c r="Z16" s="23">
        <f t="shared" si="5"/>
        <v>0.51</v>
      </c>
      <c r="AA16" s="23">
        <f t="shared" si="5"/>
        <v>0.51</v>
      </c>
      <c r="AB16" s="23">
        <f t="shared" si="5"/>
        <v>0.51192252897835611</v>
      </c>
      <c r="AC16" s="23">
        <f t="shared" si="5"/>
        <v>0.51</v>
      </c>
      <c r="AD16" s="23">
        <f t="shared" si="5"/>
        <v>0.51</v>
      </c>
      <c r="AE16" s="23">
        <f t="shared" si="5"/>
        <v>0.51</v>
      </c>
      <c r="AF16" s="23">
        <f t="shared" si="5"/>
        <v>0.51</v>
      </c>
    </row>
    <row r="17" spans="1:39" x14ac:dyDescent="0.35">
      <c r="B17" s="3"/>
      <c r="C17" s="31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39" x14ac:dyDescent="0.35">
      <c r="B18" s="3" t="s">
        <v>64</v>
      </c>
      <c r="C18" s="18">
        <v>30917</v>
      </c>
      <c r="D18" s="18">
        <v>8450</v>
      </c>
      <c r="E18" s="18">
        <v>8207</v>
      </c>
      <c r="F18" s="18">
        <v>7235</v>
      </c>
      <c r="G18" s="18">
        <v>7885</v>
      </c>
      <c r="H18" s="18">
        <v>31777</v>
      </c>
      <c r="I18" s="18">
        <v>8879</v>
      </c>
      <c r="J18" s="18">
        <v>9347</v>
      </c>
      <c r="K18" s="18">
        <v>9343</v>
      </c>
      <c r="L18" s="18">
        <v>9207</v>
      </c>
      <c r="M18" s="18">
        <v>36776</v>
      </c>
      <c r="N18" s="18">
        <v>10141</v>
      </c>
      <c r="O18" s="18">
        <v>10166</v>
      </c>
      <c r="P18" s="18">
        <v>10208</v>
      </c>
      <c r="Q18" s="18">
        <v>9049</v>
      </c>
      <c r="R18" s="18">
        <f>SUM(N18:Q18)</f>
        <v>39564</v>
      </c>
      <c r="S18" s="18">
        <v>11106</v>
      </c>
      <c r="T18" s="18">
        <v>11287</v>
      </c>
      <c r="U18" s="18">
        <v>11246</v>
      </c>
      <c r="V18" s="18">
        <v>11063</v>
      </c>
      <c r="W18" s="18">
        <v>44702</v>
      </c>
      <c r="X18" s="18">
        <v>11946</v>
      </c>
      <c r="Y18" s="19">
        <f>'Expense Tab'!Y11</f>
        <v>10807.445088</v>
      </c>
      <c r="Z18" s="19">
        <f>'Expense Tab'!Z11</f>
        <v>12611.470291200001</v>
      </c>
      <c r="AA18" s="19">
        <f>'Expense Tab'!AA11</f>
        <v>11661.2350272</v>
      </c>
      <c r="AB18" s="19">
        <f>'Expense Tab'!AB11</f>
        <v>47026.150406400004</v>
      </c>
      <c r="AC18" s="19">
        <f>'Expense Tab'!AC11</f>
        <v>48012.391686758405</v>
      </c>
      <c r="AD18" s="19">
        <f>'Expense Tab'!AD11</f>
        <v>50701.08562121688</v>
      </c>
      <c r="AE18" s="19">
        <f>'Expense Tab'!AE11</f>
        <v>53540.346416005028</v>
      </c>
      <c r="AF18" s="19">
        <f>'Expense Tab'!AF11</f>
        <v>56538.605815301315</v>
      </c>
    </row>
    <row r="19" spans="1:39" x14ac:dyDescent="0.35">
      <c r="A19" s="13"/>
      <c r="B19" s="3" t="s">
        <v>65</v>
      </c>
      <c r="C19" s="18">
        <v>30094</v>
      </c>
      <c r="D19" s="18">
        <v>7226</v>
      </c>
      <c r="E19" s="18">
        <v>7789</v>
      </c>
      <c r="F19" s="18">
        <v>8272</v>
      </c>
      <c r="G19" s="18">
        <v>8824</v>
      </c>
      <c r="H19" s="18">
        <v>32111</v>
      </c>
      <c r="I19" s="18">
        <v>8881</v>
      </c>
      <c r="J19" s="18">
        <v>11185</v>
      </c>
      <c r="K19" s="18">
        <v>10625</v>
      </c>
      <c r="L19" s="18">
        <v>10624</v>
      </c>
      <c r="M19" s="18">
        <v>41315</v>
      </c>
      <c r="N19" s="18">
        <v>9678</v>
      </c>
      <c r="O19" s="18">
        <v>11634</v>
      </c>
      <c r="P19" s="18">
        <v>10243</v>
      </c>
      <c r="Q19" s="18">
        <v>10463</v>
      </c>
      <c r="R19" s="18">
        <v>42018</v>
      </c>
      <c r="S19" s="18">
        <v>10184</v>
      </c>
      <c r="T19" s="18">
        <v>12051</v>
      </c>
      <c r="U19" s="18">
        <v>11079</v>
      </c>
      <c r="V19" s="18">
        <v>11567</v>
      </c>
      <c r="W19" s="18">
        <v>44881</v>
      </c>
      <c r="X19" s="18">
        <v>11420</v>
      </c>
      <c r="Y19" s="19">
        <f>'Expense Tab'!Y13</f>
        <v>10375.147284479999</v>
      </c>
      <c r="Z19" s="19">
        <f>'Expense Tab'!Z13</f>
        <v>12107.011479552</v>
      </c>
      <c r="AA19" s="19">
        <f>'Expense Tab'!AA13</f>
        <v>11194.785626112</v>
      </c>
      <c r="AB19" s="19">
        <f>'Expense Tab'!AB13</f>
        <v>45096.944390143995</v>
      </c>
      <c r="AC19" s="19">
        <f>'Expense Tab'!AC13</f>
        <v>46091.89601928807</v>
      </c>
      <c r="AD19" s="19">
        <f>'Expense Tab'!AD13</f>
        <v>48673.042196368202</v>
      </c>
      <c r="AE19" s="19">
        <f>'Expense Tab'!AE13</f>
        <v>51398.732559364827</v>
      </c>
      <c r="AF19" s="19">
        <f>'Expense Tab'!AF13</f>
        <v>54277.061582689261</v>
      </c>
    </row>
    <row r="20" spans="1:39" s="20" customFormat="1" x14ac:dyDescent="0.35">
      <c r="B20" s="17" t="s">
        <v>66</v>
      </c>
      <c r="C20" s="16">
        <f t="shared" ref="C20:X20" si="6">C18+C19</f>
        <v>61011</v>
      </c>
      <c r="D20" s="16">
        <f t="shared" si="6"/>
        <v>15676</v>
      </c>
      <c r="E20" s="16">
        <f t="shared" si="6"/>
        <v>15996</v>
      </c>
      <c r="F20" s="16">
        <f t="shared" si="6"/>
        <v>15507</v>
      </c>
      <c r="G20" s="16">
        <f t="shared" si="6"/>
        <v>16709</v>
      </c>
      <c r="H20" s="16">
        <f t="shared" si="6"/>
        <v>63888</v>
      </c>
      <c r="I20" s="16">
        <f t="shared" si="6"/>
        <v>17760</v>
      </c>
      <c r="J20" s="16">
        <f t="shared" si="6"/>
        <v>20532</v>
      </c>
      <c r="K20" s="16">
        <f t="shared" si="6"/>
        <v>19968</v>
      </c>
      <c r="L20" s="16">
        <f t="shared" si="6"/>
        <v>19831</v>
      </c>
      <c r="M20" s="16">
        <f t="shared" si="6"/>
        <v>78091</v>
      </c>
      <c r="N20" s="16">
        <f t="shared" si="6"/>
        <v>19819</v>
      </c>
      <c r="O20" s="16">
        <f t="shared" si="6"/>
        <v>21800</v>
      </c>
      <c r="P20" s="16">
        <f t="shared" si="6"/>
        <v>20451</v>
      </c>
      <c r="Q20" s="16">
        <f t="shared" si="6"/>
        <v>19512</v>
      </c>
      <c r="R20" s="16">
        <f t="shared" si="6"/>
        <v>81582</v>
      </c>
      <c r="S20" s="16">
        <f t="shared" si="6"/>
        <v>21290</v>
      </c>
      <c r="T20" s="16">
        <f t="shared" si="6"/>
        <v>23338</v>
      </c>
      <c r="U20" s="16">
        <f t="shared" si="6"/>
        <v>22325</v>
      </c>
      <c r="V20" s="16">
        <f t="shared" si="6"/>
        <v>22630</v>
      </c>
      <c r="W20" s="16">
        <f t="shared" si="6"/>
        <v>89583</v>
      </c>
      <c r="X20" s="16">
        <f t="shared" si="6"/>
        <v>23366</v>
      </c>
      <c r="Y20" s="21">
        <f>'Expense Tab'!Y15</f>
        <v>21614.890176000001</v>
      </c>
      <c r="Z20" s="21">
        <f>'Expense Tab'!Z15</f>
        <v>25222.940582400002</v>
      </c>
      <c r="AA20" s="21">
        <f>'Expense Tab'!AA15</f>
        <v>23322.470054400001</v>
      </c>
      <c r="AB20" s="21">
        <f>'Expense Tab'!AB15</f>
        <v>93526.300812800007</v>
      </c>
      <c r="AC20" s="21">
        <f>'Expense Tab'!AC15</f>
        <v>96024.78337351681</v>
      </c>
      <c r="AD20" s="21">
        <f>'Expense Tab'!AD15</f>
        <v>101402.17124243376</v>
      </c>
      <c r="AE20" s="21">
        <f>'Expense Tab'!AE15</f>
        <v>107080.69283201006</v>
      </c>
      <c r="AF20" s="21">
        <f>'Expense Tab'!AF15</f>
        <v>113077.21163060263</v>
      </c>
    </row>
    <row r="21" spans="1:39" x14ac:dyDescent="0.35">
      <c r="A21" s="26"/>
      <c r="B21" s="3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34"/>
      <c r="Z21" s="34"/>
      <c r="AA21" s="34"/>
      <c r="AB21" s="34"/>
      <c r="AC21" s="34"/>
      <c r="AD21" s="34"/>
      <c r="AE21" s="34"/>
      <c r="AF21" s="34"/>
    </row>
    <row r="22" spans="1:39" s="32" customFormat="1" x14ac:dyDescent="0.35">
      <c r="B22" s="16" t="s">
        <v>67</v>
      </c>
      <c r="C22" s="90">
        <f t="shared" ref="C22:AF22" si="7">C15-C20</f>
        <v>95332</v>
      </c>
      <c r="D22" s="90">
        <f t="shared" si="7"/>
        <v>18043</v>
      </c>
      <c r="E22" s="90">
        <f t="shared" si="7"/>
        <v>31479</v>
      </c>
      <c r="F22" s="90">
        <f t="shared" si="7"/>
        <v>35817</v>
      </c>
      <c r="G22" s="90">
        <f t="shared" si="7"/>
        <v>19423</v>
      </c>
      <c r="H22" s="90">
        <f t="shared" si="7"/>
        <v>104762</v>
      </c>
      <c r="I22" s="90">
        <f t="shared" si="7"/>
        <v>17467</v>
      </c>
      <c r="J22" s="90">
        <f t="shared" si="7"/>
        <v>23737</v>
      </c>
      <c r="K22" s="90">
        <f t="shared" si="7"/>
        <v>30111</v>
      </c>
      <c r="L22" s="90">
        <f t="shared" si="7"/>
        <v>21356</v>
      </c>
      <c r="M22" s="90">
        <f t="shared" si="7"/>
        <v>93169</v>
      </c>
      <c r="N22" s="90">
        <f t="shared" si="7"/>
        <v>19829</v>
      </c>
      <c r="O22" s="90">
        <f t="shared" si="7"/>
        <v>24487</v>
      </c>
      <c r="P22" s="90">
        <f t="shared" si="7"/>
        <v>33158</v>
      </c>
      <c r="Q22" s="90">
        <f t="shared" si="7"/>
        <v>22168</v>
      </c>
      <c r="R22" s="90">
        <f t="shared" si="7"/>
        <v>99633</v>
      </c>
      <c r="S22" s="90">
        <f t="shared" si="7"/>
        <v>22697</v>
      </c>
      <c r="T22" s="90">
        <f t="shared" si="7"/>
        <v>27203</v>
      </c>
      <c r="U22" s="90">
        <f t="shared" si="7"/>
        <v>35362</v>
      </c>
      <c r="V22" s="90">
        <f t="shared" si="7"/>
        <v>24060</v>
      </c>
      <c r="W22" s="90">
        <f t="shared" si="7"/>
        <v>109322</v>
      </c>
      <c r="X22" s="90">
        <f t="shared" si="7"/>
        <v>23581</v>
      </c>
      <c r="Y22" s="34"/>
      <c r="Z22" s="34"/>
      <c r="AA22" s="34"/>
      <c r="AB22" s="88">
        <f t="shared" si="7"/>
        <v>118224.03288959997</v>
      </c>
      <c r="AC22" s="88">
        <f t="shared" si="7"/>
        <v>126578.12353781762</v>
      </c>
      <c r="AD22" s="88">
        <f t="shared" si="7"/>
        <v>133666.49845593539</v>
      </c>
      <c r="AE22" s="88">
        <f t="shared" si="7"/>
        <v>141151.82236946782</v>
      </c>
      <c r="AF22" s="88">
        <f t="shared" si="7"/>
        <v>149056.32442215801</v>
      </c>
    </row>
    <row r="23" spans="1:39" s="32" customFormat="1" x14ac:dyDescent="0.35">
      <c r="B23" s="35" t="s">
        <v>68</v>
      </c>
      <c r="C23" s="89">
        <f t="shared" ref="C23:AF23" si="8">C22/C5</f>
        <v>0.32307170936695134</v>
      </c>
      <c r="D23" s="89">
        <f t="shared" si="8"/>
        <v>0.26862893980675034</v>
      </c>
      <c r="E23" s="89">
        <f t="shared" si="8"/>
        <v>0.38089418597616309</v>
      </c>
      <c r="F23" s="89">
        <f t="shared" si="8"/>
        <v>0.36234420524441568</v>
      </c>
      <c r="G23" s="89">
        <f t="shared" si="8"/>
        <v>0.24258130588999349</v>
      </c>
      <c r="H23" s="89">
        <f t="shared" si="8"/>
        <v>0.31868900732520505</v>
      </c>
      <c r="I23" s="89">
        <f t="shared" si="8"/>
        <v>0.2240393001898312</v>
      </c>
      <c r="J23" s="89">
        <f t="shared" si="8"/>
        <v>0.27738565452123309</v>
      </c>
      <c r="K23" s="89">
        <f t="shared" si="8"/>
        <v>0.30428060389256045</v>
      </c>
      <c r="L23" s="89">
        <f t="shared" si="8"/>
        <v>0.2513357655643168</v>
      </c>
      <c r="M23" s="89">
        <f t="shared" si="8"/>
        <v>0.26813846534624969</v>
      </c>
      <c r="N23" s="89">
        <f t="shared" si="8"/>
        <v>0.23777489987289255</v>
      </c>
      <c r="O23" s="89">
        <f t="shared" si="8"/>
        <v>0.27953834562432933</v>
      </c>
      <c r="P23" s="89">
        <f t="shared" si="8"/>
        <v>0.32731508444962143</v>
      </c>
      <c r="Q23" s="89">
        <f t="shared" si="8"/>
        <v>0.24578131583032131</v>
      </c>
      <c r="R23" s="89">
        <f t="shared" si="8"/>
        <v>0.27485799569090374</v>
      </c>
      <c r="S23" s="89">
        <f t="shared" si="8"/>
        <v>0.24764055731945489</v>
      </c>
      <c r="T23" s="89">
        <f t="shared" si="8"/>
        <v>0.29822945787425315</v>
      </c>
      <c r="U23" s="89">
        <f t="shared" si="8"/>
        <v>0.33222160633590442</v>
      </c>
      <c r="V23" s="89">
        <f t="shared" si="8"/>
        <v>0.24446002377541379</v>
      </c>
      <c r="W23" s="89">
        <f t="shared" si="8"/>
        <v>0.28195393701802801</v>
      </c>
      <c r="X23" s="89">
        <f t="shared" si="8"/>
        <v>0.25474245959726904</v>
      </c>
      <c r="Y23" s="36"/>
      <c r="Z23" s="36"/>
      <c r="AA23" s="36"/>
      <c r="AB23" s="89">
        <f t="shared" si="8"/>
        <v>0.28581558689736514</v>
      </c>
      <c r="AC23" s="89">
        <f t="shared" si="8"/>
        <v>0.29000000000000004</v>
      </c>
      <c r="AD23" s="89">
        <f t="shared" si="8"/>
        <v>0.28999999999999998</v>
      </c>
      <c r="AE23" s="89">
        <f t="shared" si="8"/>
        <v>0.29000000000000004</v>
      </c>
      <c r="AF23" s="89">
        <f t="shared" si="8"/>
        <v>0.28999999999999998</v>
      </c>
    </row>
    <row r="24" spans="1:39" x14ac:dyDescent="0.35">
      <c r="B24" s="3" t="s">
        <v>69</v>
      </c>
      <c r="C24" s="18">
        <f>9248+662</f>
        <v>9910</v>
      </c>
      <c r="D24" s="18">
        <f>2170+169</f>
        <v>2339</v>
      </c>
      <c r="E24" s="18">
        <f>2191+170</f>
        <v>2361</v>
      </c>
      <c r="F24" s="18">
        <f>2181+237</f>
        <v>2418</v>
      </c>
      <c r="G24" s="18">
        <f>2140+163</f>
        <v>2303</v>
      </c>
      <c r="H24" s="18">
        <f>8682+739</f>
        <v>9421</v>
      </c>
      <c r="I24" s="18">
        <f>2215+201</f>
        <v>2416</v>
      </c>
      <c r="J24" s="18">
        <f>2194+253</f>
        <v>2447</v>
      </c>
      <c r="K24" s="18">
        <f>2123+255</f>
        <v>2378</v>
      </c>
      <c r="L24" s="18">
        <f>2237+258</f>
        <v>2495</v>
      </c>
      <c r="M24" s="18">
        <f>8769+967</f>
        <v>9736</v>
      </c>
      <c r="N24" s="18">
        <f>1964+318</f>
        <v>2282</v>
      </c>
      <c r="O24" s="18">
        <f>1950+317</f>
        <v>2267</v>
      </c>
      <c r="P24" s="18">
        <f>1924+315</f>
        <v>2239</v>
      </c>
      <c r="Q24" s="18">
        <f>7046+1520</f>
        <v>8566</v>
      </c>
      <c r="R24" s="18">
        <f>7863+1409</f>
        <v>9272</v>
      </c>
      <c r="S24" s="18">
        <f>1764+357</f>
        <v>2121</v>
      </c>
      <c r="T24" s="18">
        <f>1789+346</f>
        <v>2135</v>
      </c>
      <c r="U24" s="18">
        <f>1827+405</f>
        <v>2232</v>
      </c>
      <c r="V24" s="18">
        <f>1666+412</f>
        <v>2078</v>
      </c>
      <c r="W24" s="18">
        <f>7046+1520</f>
        <v>8566</v>
      </c>
      <c r="X24" s="18">
        <f>1756+416</f>
        <v>2172</v>
      </c>
      <c r="Y24" s="34"/>
      <c r="Z24" s="34"/>
      <c r="AA24" s="34"/>
      <c r="AB24" s="19">
        <f>'D&amp;A'!AB6</f>
        <v>7895.9387499999993</v>
      </c>
      <c r="AC24" s="19">
        <f>'D&amp;A'!AC6</f>
        <v>7436.7949812499992</v>
      </c>
      <c r="AD24" s="19">
        <f>'D&amp;A'!AD6</f>
        <v>7083.6670589687492</v>
      </c>
      <c r="AE24" s="19">
        <f>'D&amp;A'!AE6</f>
        <v>6821.1826854182809</v>
      </c>
      <c r="AF24" s="19">
        <f>'D&amp;A'!AF6</f>
        <v>6636.1985460326305</v>
      </c>
    </row>
    <row r="25" spans="1:39" x14ac:dyDescent="0.35">
      <c r="B25" s="3" t="s">
        <v>70</v>
      </c>
      <c r="C25" s="18">
        <v>26785</v>
      </c>
      <c r="D25" s="18">
        <v>5961</v>
      </c>
      <c r="E25" s="18">
        <v>6027</v>
      </c>
      <c r="F25" s="18">
        <v>6026</v>
      </c>
      <c r="G25" s="18">
        <v>6043</v>
      </c>
      <c r="H25" s="18">
        <v>24057</v>
      </c>
      <c r="I25" s="18">
        <v>6395</v>
      </c>
      <c r="J25" s="18">
        <v>2346</v>
      </c>
      <c r="K25" s="18">
        <v>2346</v>
      </c>
      <c r="L25" s="18">
        <v>3902</v>
      </c>
      <c r="M25" s="18">
        <v>14989</v>
      </c>
      <c r="N25" s="18">
        <v>2318</v>
      </c>
      <c r="O25" s="18">
        <v>2342</v>
      </c>
      <c r="P25" s="18">
        <v>2342</v>
      </c>
      <c r="Q25" s="18">
        <v>2316</v>
      </c>
      <c r="R25" s="18">
        <v>9318</v>
      </c>
      <c r="S25" s="18">
        <v>2322</v>
      </c>
      <c r="T25" s="18">
        <v>2230</v>
      </c>
      <c r="U25" s="18">
        <v>2328</v>
      </c>
      <c r="V25" s="18">
        <v>2275</v>
      </c>
      <c r="W25" s="18">
        <v>9255</v>
      </c>
      <c r="X25" s="18">
        <v>2278</v>
      </c>
      <c r="Y25" s="34"/>
      <c r="Z25" s="34"/>
      <c r="AA25" s="34"/>
      <c r="AB25" s="19">
        <f>'D&amp;A'!AB14</f>
        <v>9355</v>
      </c>
      <c r="AC25" s="19">
        <f>'D&amp;A'!AC14</f>
        <v>2378</v>
      </c>
      <c r="AD25" s="19">
        <f>'D&amp;A'!AD14</f>
        <v>2478</v>
      </c>
      <c r="AE25" s="19">
        <f>'D&amp;A'!AE14</f>
        <v>2578</v>
      </c>
      <c r="AF25" s="19">
        <f>'D&amp;A'!AF14</f>
        <v>2678</v>
      </c>
      <c r="AH25" s="20"/>
      <c r="AI25" s="20"/>
      <c r="AJ25" s="20"/>
      <c r="AK25" s="20"/>
      <c r="AL25" s="20"/>
      <c r="AM25" s="20"/>
    </row>
    <row r="26" spans="1:39" s="32" customFormat="1" x14ac:dyDescent="0.35">
      <c r="A26" s="20"/>
      <c r="B26" s="16" t="s">
        <v>71</v>
      </c>
      <c r="C26" s="90">
        <f t="shared" ref="C26:X26" si="9">C24+C25</f>
        <v>36695</v>
      </c>
      <c r="D26" s="90">
        <f t="shared" si="9"/>
        <v>8300</v>
      </c>
      <c r="E26" s="90">
        <f t="shared" si="9"/>
        <v>8388</v>
      </c>
      <c r="F26" s="90">
        <f t="shared" si="9"/>
        <v>8444</v>
      </c>
      <c r="G26" s="90">
        <f t="shared" si="9"/>
        <v>8346</v>
      </c>
      <c r="H26" s="90">
        <f t="shared" si="9"/>
        <v>33478</v>
      </c>
      <c r="I26" s="90">
        <f t="shared" si="9"/>
        <v>8811</v>
      </c>
      <c r="J26" s="90">
        <f t="shared" si="9"/>
        <v>4793</v>
      </c>
      <c r="K26" s="90">
        <f t="shared" si="9"/>
        <v>4724</v>
      </c>
      <c r="L26" s="90">
        <f t="shared" si="9"/>
        <v>6397</v>
      </c>
      <c r="M26" s="90">
        <f t="shared" si="9"/>
        <v>24725</v>
      </c>
      <c r="N26" s="90">
        <f t="shared" si="9"/>
        <v>4600</v>
      </c>
      <c r="O26" s="90">
        <f t="shared" si="9"/>
        <v>4609</v>
      </c>
      <c r="P26" s="90">
        <f t="shared" si="9"/>
        <v>4581</v>
      </c>
      <c r="Q26" s="90">
        <f t="shared" si="9"/>
        <v>10882</v>
      </c>
      <c r="R26" s="90">
        <f t="shared" si="9"/>
        <v>18590</v>
      </c>
      <c r="S26" s="90">
        <f t="shared" si="9"/>
        <v>4443</v>
      </c>
      <c r="T26" s="90">
        <f t="shared" si="9"/>
        <v>4365</v>
      </c>
      <c r="U26" s="90">
        <f t="shared" si="9"/>
        <v>4560</v>
      </c>
      <c r="V26" s="90">
        <f t="shared" si="9"/>
        <v>4353</v>
      </c>
      <c r="W26" s="90">
        <f t="shared" si="9"/>
        <v>17821</v>
      </c>
      <c r="X26" s="90">
        <f t="shared" si="9"/>
        <v>4450</v>
      </c>
      <c r="Y26" s="34"/>
      <c r="Z26" s="34"/>
      <c r="AA26" s="34"/>
      <c r="AB26" s="43">
        <f>AB24+AB25</f>
        <v>17250.938750000001</v>
      </c>
      <c r="AC26" s="43">
        <f t="shared" ref="AC26:AF26" si="10">AC24+AC25</f>
        <v>9814.7949812499992</v>
      </c>
      <c r="AD26" s="43">
        <f t="shared" si="10"/>
        <v>9561.6670589687492</v>
      </c>
      <c r="AE26" s="43">
        <f t="shared" si="10"/>
        <v>9399.18268541828</v>
      </c>
      <c r="AF26" s="43">
        <f t="shared" si="10"/>
        <v>9314.1985460326305</v>
      </c>
    </row>
    <row r="27" spans="1:39" s="32" customFormat="1" x14ac:dyDescent="0.35">
      <c r="B27" s="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4"/>
      <c r="Z27" s="34"/>
      <c r="AA27" s="34"/>
      <c r="AH27" s="20"/>
      <c r="AI27" s="20"/>
      <c r="AJ27" s="20"/>
      <c r="AK27" s="20"/>
      <c r="AL27" s="20"/>
      <c r="AM27" s="20"/>
    </row>
    <row r="28" spans="1:39" s="20" customFormat="1" x14ac:dyDescent="0.35">
      <c r="B28" s="17" t="s">
        <v>72</v>
      </c>
      <c r="C28" s="16">
        <f t="shared" ref="C28:X28" si="11">C22-C26</f>
        <v>58637</v>
      </c>
      <c r="D28" s="16">
        <f t="shared" si="11"/>
        <v>9743</v>
      </c>
      <c r="E28" s="16">
        <f t="shared" si="11"/>
        <v>23091</v>
      </c>
      <c r="F28" s="16">
        <f t="shared" si="11"/>
        <v>27373</v>
      </c>
      <c r="G28" s="16">
        <f t="shared" si="11"/>
        <v>11077</v>
      </c>
      <c r="H28" s="16">
        <f t="shared" si="11"/>
        <v>71284</v>
      </c>
      <c r="I28" s="16">
        <f t="shared" si="11"/>
        <v>8656</v>
      </c>
      <c r="J28" s="16">
        <f t="shared" si="11"/>
        <v>18944</v>
      </c>
      <c r="K28" s="16">
        <f t="shared" si="11"/>
        <v>25387</v>
      </c>
      <c r="L28" s="16">
        <f t="shared" si="11"/>
        <v>14959</v>
      </c>
      <c r="M28" s="16">
        <f t="shared" si="11"/>
        <v>68444</v>
      </c>
      <c r="N28" s="16">
        <f t="shared" si="11"/>
        <v>15229</v>
      </c>
      <c r="O28" s="16">
        <f t="shared" si="11"/>
        <v>19878</v>
      </c>
      <c r="P28" s="16">
        <f t="shared" si="11"/>
        <v>28577</v>
      </c>
      <c r="Q28" s="16">
        <f t="shared" si="11"/>
        <v>11286</v>
      </c>
      <c r="R28" s="16">
        <f t="shared" si="11"/>
        <v>81043</v>
      </c>
      <c r="S28" s="16">
        <f t="shared" si="11"/>
        <v>18254</v>
      </c>
      <c r="T28" s="16">
        <f t="shared" si="11"/>
        <v>22838</v>
      </c>
      <c r="U28" s="16">
        <f t="shared" si="11"/>
        <v>30802</v>
      </c>
      <c r="V28" s="16">
        <f t="shared" si="11"/>
        <v>19707</v>
      </c>
      <c r="W28" s="16">
        <f t="shared" si="11"/>
        <v>91501</v>
      </c>
      <c r="X28" s="16">
        <f t="shared" si="11"/>
        <v>19131</v>
      </c>
      <c r="Y28" s="34"/>
      <c r="Z28" s="34"/>
      <c r="AA28" s="34"/>
      <c r="AB28" s="126">
        <f>AB22-AB26</f>
        <v>100973.09413959997</v>
      </c>
      <c r="AC28" s="126">
        <f t="shared" ref="AC28:AF28" si="12">AC22-AC26</f>
        <v>116763.32855656762</v>
      </c>
      <c r="AD28" s="126">
        <f t="shared" si="12"/>
        <v>124104.83139696665</v>
      </c>
      <c r="AE28" s="126">
        <f t="shared" si="12"/>
        <v>131752.63968404953</v>
      </c>
      <c r="AF28" s="126">
        <f t="shared" si="12"/>
        <v>139742.12587612538</v>
      </c>
    </row>
    <row r="29" spans="1:39" s="20" customFormat="1" x14ac:dyDescent="0.35">
      <c r="A29" s="25"/>
      <c r="B29" s="17" t="s">
        <v>73</v>
      </c>
      <c r="C29" s="23">
        <f t="shared" ref="C29:X29" si="13">C28/C5</f>
        <v>0.19871560254846143</v>
      </c>
      <c r="D29" s="23">
        <f t="shared" si="13"/>
        <v>0.14505635207765719</v>
      </c>
      <c r="E29" s="23">
        <f t="shared" si="13"/>
        <v>0.27939984270070783</v>
      </c>
      <c r="F29" s="23">
        <f t="shared" si="13"/>
        <v>0.27692011977986403</v>
      </c>
      <c r="G29" s="23">
        <f t="shared" si="13"/>
        <v>0.13834490682919517</v>
      </c>
      <c r="H29" s="23">
        <f t="shared" si="13"/>
        <v>0.21684797157528413</v>
      </c>
      <c r="I29" s="23">
        <f t="shared" si="13"/>
        <v>0.11102560155969422</v>
      </c>
      <c r="J29" s="23">
        <f t="shared" si="13"/>
        <v>0.22137565148292707</v>
      </c>
      <c r="K29" s="23">
        <f t="shared" si="13"/>
        <v>0.25654317993492187</v>
      </c>
      <c r="L29" s="23">
        <f t="shared" si="13"/>
        <v>0.17605037071907731</v>
      </c>
      <c r="M29" s="23">
        <f t="shared" si="13"/>
        <v>0.19698042398392937</v>
      </c>
      <c r="N29" s="23">
        <f t="shared" si="13"/>
        <v>0.18261505623905797</v>
      </c>
      <c r="O29" s="23">
        <f t="shared" si="13"/>
        <v>0.22692298910934039</v>
      </c>
      <c r="P29" s="23">
        <f t="shared" si="13"/>
        <v>0.28209431112602784</v>
      </c>
      <c r="Q29" s="23">
        <f t="shared" si="13"/>
        <v>0.1251302747411136</v>
      </c>
      <c r="R29" s="23">
        <f t="shared" si="13"/>
        <v>0.22357368085652254</v>
      </c>
      <c r="S29" s="23">
        <f t="shared" si="13"/>
        <v>0.19916423903200114</v>
      </c>
      <c r="T29" s="23">
        <f t="shared" si="13"/>
        <v>0.25037548648796798</v>
      </c>
      <c r="U29" s="23">
        <f t="shared" si="13"/>
        <v>0.28938097161807952</v>
      </c>
      <c r="V29" s="23">
        <f t="shared" si="13"/>
        <v>0.20023165787789191</v>
      </c>
      <c r="W29" s="23">
        <f t="shared" si="13"/>
        <v>0.23599154050499058</v>
      </c>
      <c r="X29" s="23">
        <f t="shared" si="13"/>
        <v>0.20666969147005446</v>
      </c>
      <c r="Y29" s="34"/>
      <c r="Z29" s="34"/>
      <c r="AA29" s="34"/>
      <c r="AB29" s="37">
        <f>AB28/AB5</f>
        <v>0.24411013105349258</v>
      </c>
      <c r="AC29" s="37">
        <f t="shared" ref="AC29:AF29" si="14">AC28/AC5</f>
        <v>0.26751356660211417</v>
      </c>
      <c r="AD29" s="37">
        <f t="shared" si="14"/>
        <v>0.26925520995064406</v>
      </c>
      <c r="AE29" s="37">
        <f t="shared" si="14"/>
        <v>0.27068914072085759</v>
      </c>
      <c r="AF29" s="37">
        <f t="shared" si="14"/>
        <v>0.27187854430987213</v>
      </c>
    </row>
    <row r="30" spans="1:39" x14ac:dyDescent="0.35">
      <c r="A30" s="38"/>
      <c r="B30" s="3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34"/>
      <c r="Z30" s="34"/>
      <c r="AA30" s="34"/>
    </row>
    <row r="31" spans="1:39" x14ac:dyDescent="0.35">
      <c r="A31" s="38"/>
      <c r="B31" s="3" t="s">
        <v>74</v>
      </c>
      <c r="C31" s="18">
        <v>1327</v>
      </c>
      <c r="D31" s="18">
        <v>64</v>
      </c>
      <c r="E31" s="18">
        <v>78</v>
      </c>
      <c r="F31" s="18">
        <v>183</v>
      </c>
      <c r="G31" s="18">
        <v>182</v>
      </c>
      <c r="H31" s="18">
        <v>507</v>
      </c>
      <c r="I31" s="18">
        <v>249</v>
      </c>
      <c r="J31" s="18">
        <v>176</v>
      </c>
      <c r="K31" s="18">
        <v>177</v>
      </c>
      <c r="L31" s="18">
        <v>137</v>
      </c>
      <c r="M31" s="18">
        <v>739</v>
      </c>
      <c r="N31" s="18">
        <v>214</v>
      </c>
      <c r="O31" s="18">
        <v>225</v>
      </c>
      <c r="P31" s="18">
        <v>271</v>
      </c>
      <c r="Q31" s="18">
        <v>288</v>
      </c>
      <c r="R31" s="18">
        <v>998</v>
      </c>
      <c r="S31" s="18">
        <v>206</v>
      </c>
      <c r="T31" s="18">
        <v>233</v>
      </c>
      <c r="U31" s="18">
        <v>217</v>
      </c>
      <c r="V31" s="18">
        <v>278</v>
      </c>
      <c r="W31" s="18">
        <v>934</v>
      </c>
      <c r="X31" s="18">
        <v>243</v>
      </c>
      <c r="Y31" s="34"/>
      <c r="Z31" s="34"/>
      <c r="AA31" s="34"/>
      <c r="AB31" s="19">
        <f>DEBT!AB12</f>
        <v>789.29519999999991</v>
      </c>
      <c r="AC31" s="19">
        <f>DEBT!AC12</f>
        <v>857.29519999999991</v>
      </c>
      <c r="AD31" s="19">
        <f>DEBT!AD12</f>
        <v>925.29519999999991</v>
      </c>
      <c r="AE31" s="19">
        <f>DEBT!AE12</f>
        <v>993.29519999999991</v>
      </c>
      <c r="AF31" s="19">
        <f>DEBT!AF12</f>
        <v>1061.2952</v>
      </c>
    </row>
    <row r="32" spans="1:39" x14ac:dyDescent="0.35">
      <c r="A32" s="13" t="s">
        <v>75</v>
      </c>
      <c r="B32" s="3" t="s">
        <v>76</v>
      </c>
      <c r="C32" s="18">
        <v>-418</v>
      </c>
      <c r="D32" s="18">
        <v>-152</v>
      </c>
      <c r="E32" s="18">
        <v>-384</v>
      </c>
      <c r="F32" s="18">
        <v>-329</v>
      </c>
      <c r="G32" s="18">
        <v>-593</v>
      </c>
      <c r="H32" s="18">
        <v>-1458</v>
      </c>
      <c r="I32" s="18">
        <v>-437</v>
      </c>
      <c r="J32" s="18">
        <v>-216</v>
      </c>
      <c r="K32" s="18">
        <v>-62</v>
      </c>
      <c r="L32" s="18">
        <v>-35</v>
      </c>
      <c r="M32" s="18">
        <v>-750</v>
      </c>
      <c r="N32" s="18">
        <v>-50</v>
      </c>
      <c r="O32" s="18">
        <v>-62</v>
      </c>
      <c r="P32" s="18">
        <v>-103</v>
      </c>
      <c r="Q32" s="18">
        <v>-157</v>
      </c>
      <c r="R32" s="18">
        <v>-373</v>
      </c>
      <c r="S32" s="18">
        <v>-210</v>
      </c>
      <c r="T32" s="18">
        <v>-462</v>
      </c>
      <c r="U32" s="18">
        <v>-450</v>
      </c>
      <c r="V32" s="18">
        <v>-59</v>
      </c>
      <c r="W32" s="18">
        <v>-1181</v>
      </c>
      <c r="X32" s="18">
        <v>-211</v>
      </c>
      <c r="Y32" s="34"/>
      <c r="Z32" s="34"/>
      <c r="AA32" s="34"/>
      <c r="AB32" s="122">
        <v>0</v>
      </c>
      <c r="AC32" s="122">
        <v>0</v>
      </c>
      <c r="AD32" s="122">
        <v>0</v>
      </c>
      <c r="AE32" s="122">
        <v>0</v>
      </c>
      <c r="AF32" s="122">
        <v>0</v>
      </c>
    </row>
    <row r="33" spans="1:32" x14ac:dyDescent="0.35">
      <c r="A33" s="13"/>
      <c r="B33" s="3" t="s">
        <v>77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>
        <v>-590</v>
      </c>
      <c r="S33" s="18"/>
      <c r="T33" s="18"/>
      <c r="U33" s="18"/>
      <c r="V33" s="18"/>
      <c r="W33" s="18"/>
      <c r="X33" s="18"/>
      <c r="Y33" s="34"/>
      <c r="Z33" s="34"/>
      <c r="AA33" s="34"/>
      <c r="AB33" s="120">
        <v>0</v>
      </c>
      <c r="AC33" s="120">
        <v>0</v>
      </c>
      <c r="AD33" s="120">
        <v>0</v>
      </c>
      <c r="AE33" s="120"/>
      <c r="AF33" s="120">
        <v>0</v>
      </c>
    </row>
    <row r="34" spans="1:32" s="32" customFormat="1" x14ac:dyDescent="0.35">
      <c r="B34" s="17" t="s">
        <v>78</v>
      </c>
      <c r="C34" s="90">
        <f t="shared" ref="C34:X34" si="15">C28-C31+C32+C33</f>
        <v>56892</v>
      </c>
      <c r="D34" s="90">
        <f t="shared" si="15"/>
        <v>9527</v>
      </c>
      <c r="E34" s="90">
        <f t="shared" si="15"/>
        <v>22629</v>
      </c>
      <c r="F34" s="90">
        <f t="shared" si="15"/>
        <v>26861</v>
      </c>
      <c r="G34" s="90">
        <f t="shared" si="15"/>
        <v>10302</v>
      </c>
      <c r="H34" s="90">
        <f t="shared" si="15"/>
        <v>69319</v>
      </c>
      <c r="I34" s="90">
        <f t="shared" si="15"/>
        <v>7970</v>
      </c>
      <c r="J34" s="90">
        <f t="shared" si="15"/>
        <v>18552</v>
      </c>
      <c r="K34" s="90">
        <f t="shared" si="15"/>
        <v>25148</v>
      </c>
      <c r="L34" s="90">
        <f t="shared" si="15"/>
        <v>14787</v>
      </c>
      <c r="M34" s="90">
        <f t="shared" si="15"/>
        <v>66955</v>
      </c>
      <c r="N34" s="90">
        <f t="shared" si="15"/>
        <v>14965</v>
      </c>
      <c r="O34" s="90">
        <f t="shared" si="15"/>
        <v>19591</v>
      </c>
      <c r="P34" s="90">
        <f t="shared" si="15"/>
        <v>28203</v>
      </c>
      <c r="Q34" s="90">
        <f t="shared" si="15"/>
        <v>10841</v>
      </c>
      <c r="R34" s="90">
        <f t="shared" si="15"/>
        <v>79082</v>
      </c>
      <c r="S34" s="90">
        <f t="shared" si="15"/>
        <v>17838</v>
      </c>
      <c r="T34" s="90">
        <f t="shared" si="15"/>
        <v>22143</v>
      </c>
      <c r="U34" s="90">
        <f t="shared" si="15"/>
        <v>30135</v>
      </c>
      <c r="V34" s="90">
        <f t="shared" si="15"/>
        <v>19370</v>
      </c>
      <c r="W34" s="90">
        <f t="shared" si="15"/>
        <v>89386</v>
      </c>
      <c r="X34" s="90">
        <f t="shared" si="15"/>
        <v>18677</v>
      </c>
      <c r="Y34" s="34"/>
      <c r="Z34" s="34"/>
      <c r="AA34" s="34"/>
      <c r="AB34" s="87">
        <f>AB28-AB31+AB32+AB33</f>
        <v>100183.79893959998</v>
      </c>
      <c r="AC34" s="87">
        <f t="shared" ref="AC34:AF34" si="16">AC28-AC31+AC32+AC33</f>
        <v>115906.03335656763</v>
      </c>
      <c r="AD34" s="87">
        <f t="shared" si="16"/>
        <v>123179.53619696666</v>
      </c>
      <c r="AE34" s="87">
        <f t="shared" si="16"/>
        <v>130759.34448404954</v>
      </c>
      <c r="AF34" s="87">
        <f t="shared" si="16"/>
        <v>138680.83067612539</v>
      </c>
    </row>
    <row r="35" spans="1:32" s="28" customFormat="1" x14ac:dyDescent="0.35">
      <c r="B35" s="29" t="s">
        <v>56</v>
      </c>
      <c r="C35" s="29">
        <f t="shared" ref="C35:AF35" si="17">C28-C31+C32+C33</f>
        <v>56892</v>
      </c>
      <c r="D35" s="29">
        <f t="shared" si="17"/>
        <v>9527</v>
      </c>
      <c r="E35" s="29">
        <f t="shared" si="17"/>
        <v>22629</v>
      </c>
      <c r="F35" s="29">
        <f t="shared" si="17"/>
        <v>26861</v>
      </c>
      <c r="G35" s="29">
        <f t="shared" si="17"/>
        <v>10302</v>
      </c>
      <c r="H35" s="29">
        <f t="shared" si="17"/>
        <v>69319</v>
      </c>
      <c r="I35" s="29">
        <f t="shared" si="17"/>
        <v>7970</v>
      </c>
      <c r="J35" s="29">
        <f t="shared" si="17"/>
        <v>18552</v>
      </c>
      <c r="K35" s="29">
        <f t="shared" si="17"/>
        <v>25148</v>
      </c>
      <c r="L35" s="29">
        <f t="shared" si="17"/>
        <v>14787</v>
      </c>
      <c r="M35" s="29">
        <f t="shared" si="17"/>
        <v>66955</v>
      </c>
      <c r="N35" s="29">
        <f t="shared" si="17"/>
        <v>14965</v>
      </c>
      <c r="O35" s="29">
        <f t="shared" si="17"/>
        <v>19591</v>
      </c>
      <c r="P35" s="29">
        <f t="shared" si="17"/>
        <v>28203</v>
      </c>
      <c r="Q35" s="29">
        <f t="shared" si="17"/>
        <v>10841</v>
      </c>
      <c r="R35" s="29">
        <f t="shared" si="17"/>
        <v>79082</v>
      </c>
      <c r="S35" s="29">
        <f t="shared" si="17"/>
        <v>17838</v>
      </c>
      <c r="T35" s="29">
        <f t="shared" si="17"/>
        <v>22143</v>
      </c>
      <c r="U35" s="29">
        <f t="shared" si="17"/>
        <v>30135</v>
      </c>
      <c r="V35" s="29">
        <f t="shared" si="17"/>
        <v>19370</v>
      </c>
      <c r="W35" s="29">
        <f t="shared" si="17"/>
        <v>89386</v>
      </c>
      <c r="X35" s="29">
        <f t="shared" si="17"/>
        <v>18677</v>
      </c>
      <c r="Y35" s="34"/>
      <c r="Z35" s="34"/>
      <c r="AA35" s="34"/>
      <c r="AB35" s="30">
        <f t="shared" si="17"/>
        <v>100183.79893959998</v>
      </c>
      <c r="AC35" s="30">
        <f t="shared" si="17"/>
        <v>115906.03335656763</v>
      </c>
      <c r="AD35" s="30">
        <f t="shared" si="17"/>
        <v>123179.53619696666</v>
      </c>
      <c r="AE35" s="30">
        <f t="shared" si="17"/>
        <v>130759.34448404954</v>
      </c>
      <c r="AF35" s="30">
        <f t="shared" si="17"/>
        <v>138680.83067612539</v>
      </c>
    </row>
    <row r="36" spans="1:32" x14ac:dyDescent="0.35">
      <c r="A36" s="13"/>
      <c r="B36" s="3" t="s">
        <v>79</v>
      </c>
      <c r="C36" s="18">
        <f>11474-53</f>
        <v>11421</v>
      </c>
      <c r="D36" s="18">
        <f>2131-383</f>
        <v>1748</v>
      </c>
      <c r="E36" s="18">
        <f>4106-2</f>
        <v>4104</v>
      </c>
      <c r="F36" s="18">
        <f>4915-6</f>
        <v>4909</v>
      </c>
      <c r="G36" s="18">
        <f>2387+795-5776-23033</f>
        <v>-25627</v>
      </c>
      <c r="H36" s="18">
        <f>13539+404-5776</f>
        <v>8167</v>
      </c>
      <c r="I36" s="18">
        <f>2387+795-5776-23033</f>
        <v>-25627</v>
      </c>
      <c r="J36" s="18">
        <f>2907-229-2139</f>
        <v>539</v>
      </c>
      <c r="K36" s="18">
        <f>4750+67-2966</f>
        <v>1851</v>
      </c>
      <c r="L36" s="18">
        <f>2912-201-2086</f>
        <v>625</v>
      </c>
      <c r="M36" s="18">
        <f>12678-8554+90</f>
        <v>4214</v>
      </c>
      <c r="N36" s="18">
        <f>2774-335-1149</f>
        <v>1290</v>
      </c>
      <c r="O36" s="18">
        <f>3362+58+(-2137)</f>
        <v>1283</v>
      </c>
      <c r="P36" s="18">
        <f>4676-37-3091</f>
        <v>1548</v>
      </c>
      <c r="Q36" s="18">
        <f>3353+186+(-1291)</f>
        <v>2248</v>
      </c>
      <c r="R36" s="18">
        <f>14465-7668-128</f>
        <v>6669</v>
      </c>
      <c r="S36" s="18">
        <f>3910-15-1117</f>
        <v>2778</v>
      </c>
      <c r="T36" s="18">
        <f>4031-320-2767</f>
        <v>944</v>
      </c>
      <c r="U36" s="18">
        <f>5717-345-3135</f>
        <v>2237</v>
      </c>
      <c r="V36" s="18">
        <f>4214+311+(-1372)</f>
        <v>3153</v>
      </c>
      <c r="W36" s="18">
        <f>17872-8391-369</f>
        <v>9112</v>
      </c>
      <c r="X36" s="18">
        <f>3642-352-1039</f>
        <v>2251</v>
      </c>
      <c r="Y36" s="34"/>
      <c r="Z36" s="34"/>
      <c r="AA36" s="34"/>
      <c r="AB36" s="27">
        <f>AB34*AB37</f>
        <v>10018.379893959998</v>
      </c>
      <c r="AC36" s="27">
        <f t="shared" ref="AC36:AF36" si="18">AC34*AC37</f>
        <v>11590.603335656764</v>
      </c>
      <c r="AD36" s="27">
        <f t="shared" si="18"/>
        <v>12317.953619696666</v>
      </c>
      <c r="AE36" s="27">
        <f t="shared" si="18"/>
        <v>13075.934448404954</v>
      </c>
      <c r="AF36" s="27">
        <f t="shared" si="18"/>
        <v>13868.083067612541</v>
      </c>
    </row>
    <row r="37" spans="1:32" s="32" customFormat="1" x14ac:dyDescent="0.35">
      <c r="B37" s="17" t="s">
        <v>80</v>
      </c>
      <c r="C37" s="36">
        <f t="shared" ref="C37:X37" si="19">C36/C34</f>
        <v>0.20074878717570133</v>
      </c>
      <c r="D37" s="36">
        <f t="shared" si="19"/>
        <v>0.18347853469087855</v>
      </c>
      <c r="E37" s="36">
        <f t="shared" si="19"/>
        <v>0.181360201511335</v>
      </c>
      <c r="F37" s="36">
        <f t="shared" si="19"/>
        <v>0.18275566806894755</v>
      </c>
      <c r="G37" s="36">
        <f t="shared" si="19"/>
        <v>-2.4875752281110466</v>
      </c>
      <c r="H37" s="36">
        <f t="shared" si="19"/>
        <v>0.11781762575917137</v>
      </c>
      <c r="I37" s="36">
        <f t="shared" si="19"/>
        <v>-3.2154328732747803</v>
      </c>
      <c r="J37" s="36">
        <f t="shared" si="19"/>
        <v>2.9053471323846485E-2</v>
      </c>
      <c r="K37" s="36">
        <f t="shared" si="19"/>
        <v>7.3604262764434547E-2</v>
      </c>
      <c r="L37" s="36">
        <f t="shared" si="19"/>
        <v>4.2266856022181644E-2</v>
      </c>
      <c r="M37" s="36">
        <f t="shared" si="19"/>
        <v>6.2937794040773654E-2</v>
      </c>
      <c r="N37" s="36">
        <f t="shared" si="19"/>
        <v>8.6201135983962576E-2</v>
      </c>
      <c r="O37" s="36">
        <f t="shared" si="19"/>
        <v>6.5489255270277172E-2</v>
      </c>
      <c r="P37" s="36">
        <f t="shared" si="19"/>
        <v>5.4887777895968513E-2</v>
      </c>
      <c r="Q37" s="36">
        <f t="shared" si="19"/>
        <v>0.20736094456230975</v>
      </c>
      <c r="R37" s="36">
        <f t="shared" si="19"/>
        <v>8.433018891783213E-2</v>
      </c>
      <c r="S37" s="36">
        <f t="shared" si="19"/>
        <v>0.15573494786411032</v>
      </c>
      <c r="T37" s="36">
        <f t="shared" si="19"/>
        <v>4.2631983019464394E-2</v>
      </c>
      <c r="U37" s="36">
        <f t="shared" si="19"/>
        <v>7.4232619877219186E-2</v>
      </c>
      <c r="V37" s="36">
        <f t="shared" si="19"/>
        <v>0.16277749096541042</v>
      </c>
      <c r="W37" s="36">
        <f t="shared" si="19"/>
        <v>0.10193990110308102</v>
      </c>
      <c r="X37" s="36">
        <f t="shared" si="19"/>
        <v>0.12052256786421803</v>
      </c>
      <c r="Y37" s="34"/>
      <c r="Z37" s="34"/>
      <c r="AA37" s="34"/>
      <c r="AB37" s="128">
        <v>0.1</v>
      </c>
      <c r="AC37" s="128">
        <v>0.1</v>
      </c>
      <c r="AD37" s="128">
        <v>0.1</v>
      </c>
      <c r="AE37" s="128">
        <v>0.1</v>
      </c>
      <c r="AF37" s="128">
        <v>0.1</v>
      </c>
    </row>
    <row r="38" spans="1:32" x14ac:dyDescent="0.35">
      <c r="A38" t="s">
        <v>75</v>
      </c>
      <c r="B38" s="3" t="s">
        <v>81</v>
      </c>
      <c r="C38" s="18">
        <f t="shared" ref="C38:X38" si="20">C34-C36</f>
        <v>45471</v>
      </c>
      <c r="D38" s="18">
        <f t="shared" si="20"/>
        <v>7779</v>
      </c>
      <c r="E38" s="18">
        <f t="shared" si="20"/>
        <v>18525</v>
      </c>
      <c r="F38" s="18">
        <f t="shared" si="20"/>
        <v>21952</v>
      </c>
      <c r="G38" s="18">
        <f t="shared" si="20"/>
        <v>35929</v>
      </c>
      <c r="H38" s="18">
        <f t="shared" si="20"/>
        <v>61152</v>
      </c>
      <c r="I38" s="18">
        <f t="shared" si="20"/>
        <v>33597</v>
      </c>
      <c r="J38" s="18">
        <f t="shared" si="20"/>
        <v>18013</v>
      </c>
      <c r="K38" s="18">
        <f t="shared" si="20"/>
        <v>23297</v>
      </c>
      <c r="L38" s="18">
        <f t="shared" si="20"/>
        <v>14162</v>
      </c>
      <c r="M38" s="18">
        <f t="shared" si="20"/>
        <v>62741</v>
      </c>
      <c r="N38" s="18">
        <f t="shared" si="20"/>
        <v>13675</v>
      </c>
      <c r="O38" s="18">
        <f t="shared" si="20"/>
        <v>18308</v>
      </c>
      <c r="P38" s="18">
        <f t="shared" si="20"/>
        <v>26655</v>
      </c>
      <c r="Q38" s="18">
        <f t="shared" si="20"/>
        <v>8593</v>
      </c>
      <c r="R38" s="18">
        <f t="shared" si="20"/>
        <v>72413</v>
      </c>
      <c r="S38" s="18">
        <f t="shared" si="20"/>
        <v>15060</v>
      </c>
      <c r="T38" s="18">
        <f t="shared" si="20"/>
        <v>21199</v>
      </c>
      <c r="U38" s="18">
        <f t="shared" si="20"/>
        <v>27898</v>
      </c>
      <c r="V38" s="18">
        <f t="shared" si="20"/>
        <v>16217</v>
      </c>
      <c r="W38" s="18">
        <f t="shared" si="20"/>
        <v>80274</v>
      </c>
      <c r="X38" s="18">
        <f t="shared" si="20"/>
        <v>16426</v>
      </c>
      <c r="Y38" s="34"/>
      <c r="Z38" s="34"/>
      <c r="AA38" s="34"/>
      <c r="AB38" s="127">
        <f>AB34-AB36</f>
        <v>90165.419045639981</v>
      </c>
      <c r="AC38" s="127">
        <f t="shared" ref="AC38:AF38" si="21">AC34-AC36</f>
        <v>104315.43002091086</v>
      </c>
      <c r="AD38" s="127">
        <f t="shared" si="21"/>
        <v>110861.58257726999</v>
      </c>
      <c r="AE38" s="127">
        <f t="shared" si="21"/>
        <v>117683.41003564459</v>
      </c>
      <c r="AF38" s="127">
        <f t="shared" si="21"/>
        <v>124812.74760851284</v>
      </c>
    </row>
    <row r="39" spans="1:32" s="32" customFormat="1" x14ac:dyDescent="0.35">
      <c r="A39" s="32" t="s">
        <v>51</v>
      </c>
      <c r="B39" s="17" t="s">
        <v>82</v>
      </c>
      <c r="C39" s="33"/>
      <c r="D39" s="33"/>
      <c r="E39" s="33"/>
      <c r="F39" s="33"/>
      <c r="G39" s="33"/>
      <c r="H39" s="23">
        <f>H38/C38-1</f>
        <v>0.34485716170746183</v>
      </c>
      <c r="I39" s="23"/>
      <c r="J39" s="23"/>
      <c r="K39" s="23"/>
      <c r="L39" s="23"/>
      <c r="M39" s="23">
        <f>M38/H38-1</f>
        <v>2.5984432234432253E-2</v>
      </c>
      <c r="N39" s="23"/>
      <c r="O39" s="23"/>
      <c r="P39" s="23"/>
      <c r="Q39" s="23"/>
      <c r="R39" s="23">
        <f>R38/M38-1</f>
        <v>0.15415756841618711</v>
      </c>
      <c r="S39" s="23"/>
      <c r="T39" s="23"/>
      <c r="U39" s="23"/>
      <c r="V39" s="23"/>
      <c r="W39" s="23">
        <f>W38/R38-1</f>
        <v>0.10855785563365683</v>
      </c>
      <c r="X39" s="23"/>
      <c r="Y39" s="34"/>
      <c r="Z39" s="34"/>
      <c r="AA39" s="34"/>
      <c r="AB39" s="130">
        <f>AB38/W38-1</f>
        <v>0.12322070714851607</v>
      </c>
      <c r="AC39" s="130">
        <f>AC38/AB38-1</f>
        <v>0.15693390132317164</v>
      </c>
      <c r="AD39" s="130">
        <f>AD38/AC38-1</f>
        <v>6.275344457715315E-2</v>
      </c>
      <c r="AE39" s="130">
        <f t="shared" ref="AE39:AF39" si="22">AE38/AD38-1</f>
        <v>6.1534638959531485E-2</v>
      </c>
      <c r="AF39" s="130">
        <f t="shared" si="22"/>
        <v>6.0580650838626182E-2</v>
      </c>
    </row>
    <row r="40" spans="1:32" s="32" customFormat="1" x14ac:dyDescent="0.35">
      <c r="B40" s="17" t="s">
        <v>83</v>
      </c>
      <c r="C40" s="23">
        <f t="shared" ref="C40:X40" si="23">C38/C5</f>
        <v>0.15409719398129321</v>
      </c>
      <c r="D40" s="23">
        <f t="shared" si="23"/>
        <v>0.11581580240296574</v>
      </c>
      <c r="E40" s="23">
        <f t="shared" si="23"/>
        <v>0.22415149131828907</v>
      </c>
      <c r="F40" s="23">
        <f t="shared" si="23"/>
        <v>0.22207834250566527</v>
      </c>
      <c r="G40" s="23">
        <f t="shared" si="23"/>
        <v>0.44873107858320427</v>
      </c>
      <c r="H40" s="23">
        <f t="shared" si="23"/>
        <v>0.18602613711031613</v>
      </c>
      <c r="I40" s="23">
        <f t="shared" si="23"/>
        <v>0.43092965984300446</v>
      </c>
      <c r="J40" s="23">
        <f t="shared" si="23"/>
        <v>0.21049617874588075</v>
      </c>
      <c r="K40" s="23">
        <f t="shared" si="23"/>
        <v>0.23542310879362963</v>
      </c>
      <c r="L40" s="23">
        <f t="shared" si="23"/>
        <v>0.16667058961986583</v>
      </c>
      <c r="M40" s="23">
        <f t="shared" si="23"/>
        <v>0.18056730730488738</v>
      </c>
      <c r="N40" s="23">
        <f t="shared" si="23"/>
        <v>0.16398062210710604</v>
      </c>
      <c r="O40" s="23">
        <f t="shared" si="23"/>
        <v>0.20900020548414347</v>
      </c>
      <c r="P40" s="23">
        <f t="shared" si="23"/>
        <v>0.26312152650958015</v>
      </c>
      <c r="Q40" s="23">
        <f t="shared" si="23"/>
        <v>9.5272412799077541E-2</v>
      </c>
      <c r="R40" s="23">
        <f t="shared" si="23"/>
        <v>0.19976606186670492</v>
      </c>
      <c r="S40" s="23">
        <f t="shared" si="23"/>
        <v>0.16431540702431999</v>
      </c>
      <c r="T40" s="23">
        <f t="shared" si="23"/>
        <v>0.23240695061119335</v>
      </c>
      <c r="U40" s="23">
        <f t="shared" si="23"/>
        <v>0.26209825161356998</v>
      </c>
      <c r="V40" s="23">
        <f t="shared" si="23"/>
        <v>0.16477174586724377</v>
      </c>
      <c r="W40" s="23">
        <f t="shared" si="23"/>
        <v>0.2070358238980734</v>
      </c>
      <c r="X40" s="23">
        <f t="shared" si="23"/>
        <v>0.17744793017025323</v>
      </c>
      <c r="Y40" s="34"/>
      <c r="Z40" s="34"/>
      <c r="AA40" s="34"/>
      <c r="AB40" s="130">
        <f>AB38/AB5</f>
        <v>0.21798175491476973</v>
      </c>
      <c r="AC40" s="130">
        <f t="shared" ref="AC40:AF40" si="24">AC38/AC5</f>
        <v>0.23899449494545516</v>
      </c>
      <c r="AD40" s="130">
        <f t="shared" si="24"/>
        <v>0.24052293819910936</v>
      </c>
      <c r="AE40" s="130">
        <f t="shared" si="24"/>
        <v>0.24178355147980798</v>
      </c>
      <c r="AF40" s="130">
        <f t="shared" si="24"/>
        <v>0.24283234506678902</v>
      </c>
    </row>
    <row r="41" spans="1:32" s="28" customFormat="1" x14ac:dyDescent="0.35">
      <c r="B41" s="29" t="s">
        <v>84</v>
      </c>
      <c r="C41" s="29">
        <f t="shared" ref="C41:AF41" si="25">C34-C36</f>
        <v>45471</v>
      </c>
      <c r="D41" s="29">
        <f t="shared" si="25"/>
        <v>7779</v>
      </c>
      <c r="E41" s="29">
        <f t="shared" si="25"/>
        <v>18525</v>
      </c>
      <c r="F41" s="29">
        <f t="shared" si="25"/>
        <v>21952</v>
      </c>
      <c r="G41" s="29">
        <f t="shared" si="25"/>
        <v>35929</v>
      </c>
      <c r="H41" s="29">
        <f t="shared" si="25"/>
        <v>61152</v>
      </c>
      <c r="I41" s="29">
        <f t="shared" si="25"/>
        <v>33597</v>
      </c>
      <c r="J41" s="29">
        <f t="shared" si="25"/>
        <v>18013</v>
      </c>
      <c r="K41" s="29">
        <f t="shared" si="25"/>
        <v>23297</v>
      </c>
      <c r="L41" s="29">
        <f t="shared" si="25"/>
        <v>14162</v>
      </c>
      <c r="M41" s="29">
        <f t="shared" si="25"/>
        <v>62741</v>
      </c>
      <c r="N41" s="29">
        <f t="shared" si="25"/>
        <v>13675</v>
      </c>
      <c r="O41" s="29">
        <f t="shared" si="25"/>
        <v>18308</v>
      </c>
      <c r="P41" s="29">
        <f t="shared" si="25"/>
        <v>26655</v>
      </c>
      <c r="Q41" s="29">
        <f t="shared" si="25"/>
        <v>8593</v>
      </c>
      <c r="R41" s="29">
        <f t="shared" si="25"/>
        <v>72413</v>
      </c>
      <c r="S41" s="29">
        <f t="shared" si="25"/>
        <v>15060</v>
      </c>
      <c r="T41" s="29">
        <f t="shared" si="25"/>
        <v>21199</v>
      </c>
      <c r="U41" s="29">
        <f t="shared" si="25"/>
        <v>27898</v>
      </c>
      <c r="V41" s="29">
        <f t="shared" si="25"/>
        <v>16217</v>
      </c>
      <c r="W41" s="29">
        <f t="shared" si="25"/>
        <v>80274</v>
      </c>
      <c r="X41" s="29">
        <f t="shared" si="25"/>
        <v>16426</v>
      </c>
      <c r="Y41" s="34"/>
      <c r="Z41" s="34"/>
      <c r="AA41" s="34"/>
      <c r="AB41" s="30">
        <f t="shared" si="25"/>
        <v>90165.419045639981</v>
      </c>
      <c r="AC41" s="30">
        <f t="shared" si="25"/>
        <v>104315.43002091086</v>
      </c>
      <c r="AD41" s="30">
        <f t="shared" si="25"/>
        <v>110861.58257726999</v>
      </c>
      <c r="AE41" s="30">
        <f t="shared" si="25"/>
        <v>117683.41003564459</v>
      </c>
      <c r="AF41" s="30">
        <f t="shared" si="25"/>
        <v>124812.74760851284</v>
      </c>
    </row>
    <row r="42" spans="1:32" x14ac:dyDescent="0.35">
      <c r="B42" s="3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34"/>
      <c r="Z42" s="34"/>
      <c r="AA42" s="34"/>
      <c r="AB42" s="34"/>
      <c r="AC42" s="34"/>
      <c r="AD42" s="34"/>
      <c r="AE42" s="34"/>
      <c r="AF42" s="34"/>
    </row>
    <row r="43" spans="1:32" x14ac:dyDescent="0.35">
      <c r="A43" s="38"/>
    </row>
    <row r="45" spans="1:32" x14ac:dyDescent="0.35">
      <c r="A45" s="26"/>
    </row>
    <row r="46" spans="1:32" x14ac:dyDescent="0.35">
      <c r="A46" s="13"/>
    </row>
    <row r="47" spans="1:32" x14ac:dyDescent="0.35">
      <c r="A47" s="28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70"/>
  <sheetViews>
    <sheetView zoomScale="40" zoomScaleNormal="40" workbookViewId="0">
      <pane ySplit="1" topLeftCell="A2" activePane="bottomLeft" state="frozen"/>
      <selection activeCell="B1" sqref="B1"/>
      <selection pane="bottomLeft" activeCell="W26" sqref="W26"/>
    </sheetView>
  </sheetViews>
  <sheetFormatPr defaultColWidth="8.6328125" defaultRowHeight="14.5" outlineLevelCol="1" x14ac:dyDescent="0.35"/>
  <cols>
    <col min="1" max="1" width="4.26953125" hidden="1" customWidth="1" outlineLevel="1"/>
    <col min="2" max="2" width="32" customWidth="1" collapsed="1"/>
    <col min="3" max="3" width="9.81640625" customWidth="1"/>
    <col min="4" max="7" width="10.26953125" hidden="1" customWidth="1" outlineLevel="1"/>
    <col min="8" max="8" width="9.81640625" customWidth="1" collapsed="1"/>
    <col min="9" max="12" width="10.26953125" hidden="1" customWidth="1" outlineLevel="1"/>
    <col min="13" max="13" width="9.81640625" customWidth="1" collapsed="1"/>
    <col min="14" max="17" width="10.26953125" hidden="1" customWidth="1" outlineLevel="1"/>
    <col min="18" max="18" width="9.81640625" customWidth="1" collapsed="1"/>
    <col min="19" max="22" width="10.26953125" hidden="1" customWidth="1" outlineLevel="1"/>
    <col min="23" max="23" width="9.81640625" customWidth="1" collapsed="1"/>
    <col min="24" max="24" width="10.26953125" hidden="1" customWidth="1" outlineLevel="1"/>
    <col min="25" max="25" width="8.6328125" collapsed="1"/>
    <col min="30" max="31" width="11.26953125" customWidth="1"/>
    <col min="32" max="32" width="9.81640625" customWidth="1"/>
  </cols>
  <sheetData>
    <row r="1" spans="1:32" s="13" customFormat="1" x14ac:dyDescent="0.35">
      <c r="B1" s="14" t="s">
        <v>19</v>
      </c>
      <c r="C1" s="15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5" t="s">
        <v>25</v>
      </c>
      <c r="I1" s="16" t="s">
        <v>26</v>
      </c>
      <c r="J1" s="16" t="s">
        <v>27</v>
      </c>
      <c r="K1" s="16" t="s">
        <v>28</v>
      </c>
      <c r="L1" s="16" t="s">
        <v>29</v>
      </c>
      <c r="M1" s="15" t="s">
        <v>30</v>
      </c>
      <c r="N1" s="16" t="s">
        <v>31</v>
      </c>
      <c r="O1" s="16" t="s">
        <v>32</v>
      </c>
      <c r="P1" s="16" t="s">
        <v>33</v>
      </c>
      <c r="Q1" s="16" t="s">
        <v>34</v>
      </c>
      <c r="R1" s="15" t="s">
        <v>35</v>
      </c>
      <c r="S1" s="16" t="s">
        <v>36</v>
      </c>
      <c r="T1" s="16" t="s">
        <v>37</v>
      </c>
      <c r="U1" s="16" t="s">
        <v>38</v>
      </c>
      <c r="V1" s="16" t="s">
        <v>39</v>
      </c>
      <c r="W1" s="15" t="s">
        <v>40</v>
      </c>
      <c r="X1" s="17" t="s">
        <v>41</v>
      </c>
      <c r="Y1" s="14" t="s">
        <v>45</v>
      </c>
      <c r="Z1" s="14" t="s">
        <v>46</v>
      </c>
      <c r="AA1" s="14" t="s">
        <v>47</v>
      </c>
      <c r="AB1" s="14" t="s">
        <v>48</v>
      </c>
      <c r="AC1" s="14" t="s">
        <v>49</v>
      </c>
      <c r="AD1" s="39"/>
      <c r="AE1" s="39"/>
      <c r="AF1" s="39"/>
    </row>
    <row r="2" spans="1:32" x14ac:dyDescent="0.35">
      <c r="B2" s="13" t="s">
        <v>85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2" x14ac:dyDescent="0.35">
      <c r="B3" t="s">
        <v>86</v>
      </c>
      <c r="C3" s="40">
        <v>71426.679999999993</v>
      </c>
      <c r="D3" s="40"/>
      <c r="E3" s="40"/>
      <c r="F3" s="40"/>
      <c r="G3" s="40"/>
      <c r="H3" s="40">
        <v>68569.039999999994</v>
      </c>
      <c r="I3" s="40"/>
      <c r="J3" s="40"/>
      <c r="K3" s="40"/>
      <c r="L3" s="40"/>
      <c r="M3" s="40">
        <v>63005.53</v>
      </c>
      <c r="N3" s="40"/>
      <c r="O3" s="40"/>
      <c r="P3" s="40"/>
      <c r="Q3" s="40"/>
      <c r="R3" s="40">
        <v>58114.73</v>
      </c>
      <c r="S3" s="40"/>
      <c r="T3" s="40"/>
      <c r="U3" s="40"/>
      <c r="V3" s="40"/>
      <c r="W3" s="40">
        <v>54454.75</v>
      </c>
      <c r="X3" s="18"/>
      <c r="Y3" s="17"/>
      <c r="Z3" s="17"/>
      <c r="AA3" s="17"/>
      <c r="AB3" s="17"/>
      <c r="AC3" s="17"/>
    </row>
    <row r="4" spans="1:32" x14ac:dyDescent="0.35">
      <c r="B4" t="s">
        <v>87</v>
      </c>
      <c r="C4" s="40">
        <v>581.54</v>
      </c>
      <c r="D4" s="40"/>
      <c r="E4" s="40"/>
      <c r="F4" s="40"/>
      <c r="G4" s="40"/>
      <c r="H4" s="40">
        <v>172.3</v>
      </c>
      <c r="I4" s="40"/>
      <c r="J4" s="40"/>
      <c r="K4" s="40"/>
      <c r="L4" s="40"/>
      <c r="M4" s="40">
        <v>575.29999999999995</v>
      </c>
      <c r="N4" s="40"/>
      <c r="O4" s="40"/>
      <c r="P4" s="40"/>
      <c r="Q4" s="40"/>
      <c r="R4" s="40">
        <v>672.49</v>
      </c>
      <c r="S4" s="40"/>
      <c r="T4" s="40"/>
      <c r="U4" s="40"/>
      <c r="V4" s="40"/>
      <c r="W4" s="40">
        <v>1327.55</v>
      </c>
      <c r="X4" s="18"/>
      <c r="Y4" s="3"/>
      <c r="Z4" s="3"/>
      <c r="AA4" s="3"/>
      <c r="AB4" s="3"/>
      <c r="AC4" s="3"/>
    </row>
    <row r="5" spans="1:32" s="20" customFormat="1" x14ac:dyDescent="0.35">
      <c r="B5" s="20" t="s">
        <v>88</v>
      </c>
      <c r="C5" s="40">
        <v>5304.07</v>
      </c>
      <c r="D5" s="40"/>
      <c r="E5" s="40"/>
      <c r="F5" s="40"/>
      <c r="G5" s="40"/>
      <c r="H5" s="40">
        <v>5412.69</v>
      </c>
      <c r="I5" s="40"/>
      <c r="J5" s="40"/>
      <c r="K5" s="40"/>
      <c r="L5" s="40"/>
      <c r="M5" s="40">
        <v>5338.9</v>
      </c>
      <c r="N5" s="40"/>
      <c r="O5" s="40"/>
      <c r="P5" s="40"/>
      <c r="Q5" s="40"/>
      <c r="R5" s="40">
        <v>5198.57</v>
      </c>
      <c r="S5" s="40"/>
      <c r="T5" s="40"/>
      <c r="U5" s="40"/>
      <c r="V5" s="40"/>
      <c r="W5" s="40">
        <v>5108.09</v>
      </c>
      <c r="X5" s="16"/>
      <c r="Y5" s="3"/>
      <c r="Z5" s="3"/>
      <c r="AA5" s="3"/>
      <c r="AB5" s="3"/>
      <c r="AC5" s="3"/>
    </row>
    <row r="6" spans="1:32" s="22" customFormat="1" x14ac:dyDescent="0.35">
      <c r="B6" s="22" t="s">
        <v>89</v>
      </c>
      <c r="C6" s="40">
        <v>0</v>
      </c>
      <c r="D6" s="40"/>
      <c r="E6" s="40"/>
      <c r="F6" s="40"/>
      <c r="G6" s="40"/>
      <c r="H6" s="40">
        <v>2415.35</v>
      </c>
      <c r="I6" s="40"/>
      <c r="J6" s="40"/>
      <c r="K6" s="40"/>
      <c r="L6" s="40"/>
      <c r="M6" s="40">
        <v>6819</v>
      </c>
      <c r="N6" s="40"/>
      <c r="O6" s="40"/>
      <c r="P6" s="40"/>
      <c r="Q6" s="40"/>
      <c r="R6" s="40">
        <v>6819</v>
      </c>
      <c r="S6" s="40"/>
      <c r="T6" s="40"/>
      <c r="U6" s="40"/>
      <c r="V6" s="40"/>
      <c r="W6" s="40">
        <v>6819</v>
      </c>
      <c r="X6" s="23"/>
      <c r="Y6" s="3"/>
      <c r="Z6" s="3"/>
      <c r="AA6" s="3"/>
      <c r="AB6" s="3"/>
      <c r="AC6" s="3"/>
    </row>
    <row r="7" spans="1:32" s="20" customFormat="1" x14ac:dyDescent="0.35">
      <c r="A7" s="25"/>
      <c r="B7" s="20" t="s">
        <v>90</v>
      </c>
      <c r="C7" s="40">
        <v>35343.51</v>
      </c>
      <c r="D7" s="40"/>
      <c r="E7" s="40"/>
      <c r="F7" s="40"/>
      <c r="G7" s="40"/>
      <c r="H7" s="40">
        <v>56011.26</v>
      </c>
      <c r="I7" s="40"/>
      <c r="J7" s="40"/>
      <c r="K7" s="40"/>
      <c r="L7" s="40"/>
      <c r="M7" s="40">
        <v>47524.47</v>
      </c>
      <c r="N7" s="40"/>
      <c r="O7" s="40"/>
      <c r="P7" s="40"/>
      <c r="Q7" s="40"/>
      <c r="R7" s="40">
        <v>38322.97</v>
      </c>
      <c r="S7" s="40"/>
      <c r="T7" s="40"/>
      <c r="U7" s="40"/>
      <c r="V7" s="40"/>
      <c r="W7" s="40">
        <v>29221.5</v>
      </c>
      <c r="X7" s="23"/>
      <c r="Y7" s="3"/>
      <c r="Z7" s="3"/>
      <c r="AA7" s="3"/>
      <c r="AB7" s="3"/>
      <c r="AC7" s="3"/>
    </row>
    <row r="8" spans="1:32" x14ac:dyDescent="0.35">
      <c r="A8" s="26"/>
      <c r="B8" t="s">
        <v>91</v>
      </c>
      <c r="C8" s="40">
        <v>1109.06</v>
      </c>
      <c r="D8" s="40"/>
      <c r="E8" s="40"/>
      <c r="F8" s="40"/>
      <c r="G8" s="40"/>
      <c r="H8" s="40">
        <v>1983.7</v>
      </c>
      <c r="I8" s="40"/>
      <c r="J8" s="40"/>
      <c r="K8" s="40"/>
      <c r="L8" s="40"/>
      <c r="M8" s="40">
        <v>1847.04</v>
      </c>
      <c r="N8" s="40"/>
      <c r="O8" s="40"/>
      <c r="P8" s="40"/>
      <c r="Q8" s="40"/>
      <c r="R8" s="40">
        <v>2908.07</v>
      </c>
      <c r="S8" s="40"/>
      <c r="T8" s="40"/>
      <c r="U8" s="40"/>
      <c r="V8" s="40"/>
      <c r="W8" s="40">
        <v>2834.14</v>
      </c>
      <c r="X8" s="18"/>
      <c r="Y8" s="3"/>
      <c r="Z8" s="3"/>
      <c r="AA8" s="3"/>
      <c r="AB8" s="3"/>
      <c r="AC8" s="3"/>
    </row>
    <row r="9" spans="1:32" s="28" customFormat="1" x14ac:dyDescent="0.35">
      <c r="B9" s="28" t="s">
        <v>92</v>
      </c>
      <c r="C9" s="40">
        <v>61.83</v>
      </c>
      <c r="D9" s="40"/>
      <c r="E9" s="40"/>
      <c r="F9" s="40"/>
      <c r="G9" s="40"/>
      <c r="H9" s="40">
        <v>135.41</v>
      </c>
      <c r="I9" s="40"/>
      <c r="J9" s="40"/>
      <c r="K9" s="40"/>
      <c r="L9" s="40"/>
      <c r="M9" s="40">
        <v>57.32</v>
      </c>
      <c r="N9" s="40"/>
      <c r="O9" s="40"/>
      <c r="P9" s="40"/>
      <c r="Q9" s="40"/>
      <c r="R9" s="40">
        <v>82.29</v>
      </c>
      <c r="S9" s="40"/>
      <c r="T9" s="40"/>
      <c r="U9" s="40"/>
      <c r="V9" s="40"/>
      <c r="W9" s="40">
        <v>168.83</v>
      </c>
      <c r="X9" s="29"/>
      <c r="Y9" s="3"/>
      <c r="Z9" s="3"/>
      <c r="AA9" s="3"/>
      <c r="AB9" s="3"/>
      <c r="AC9" s="3"/>
    </row>
    <row r="10" spans="1:32" ht="29" x14ac:dyDescent="0.35">
      <c r="A10" s="13"/>
      <c r="B10" s="41" t="s">
        <v>93</v>
      </c>
      <c r="C10" s="40">
        <v>0</v>
      </c>
      <c r="D10" s="40"/>
      <c r="E10" s="40"/>
      <c r="F10" s="40"/>
      <c r="G10" s="40"/>
      <c r="H10" s="40">
        <v>0</v>
      </c>
      <c r="I10" s="40"/>
      <c r="J10" s="40"/>
      <c r="K10" s="40"/>
      <c r="L10" s="40"/>
      <c r="M10" s="40">
        <v>0</v>
      </c>
      <c r="N10" s="40"/>
      <c r="O10" s="40"/>
      <c r="P10" s="40"/>
      <c r="Q10" s="40"/>
      <c r="R10" s="40">
        <v>11678.26</v>
      </c>
      <c r="S10" s="40"/>
      <c r="T10" s="40"/>
      <c r="U10" s="40"/>
      <c r="V10" s="40"/>
      <c r="W10" s="40">
        <v>11189</v>
      </c>
      <c r="X10" s="18"/>
      <c r="Y10" s="3"/>
      <c r="Z10" s="3"/>
      <c r="AA10" s="3"/>
      <c r="AB10" s="3"/>
      <c r="AC10" s="3"/>
    </row>
    <row r="11" spans="1:32" x14ac:dyDescent="0.35">
      <c r="A11" s="13"/>
      <c r="B11" t="s">
        <v>94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18"/>
      <c r="Y11" s="3"/>
      <c r="Z11" s="3"/>
      <c r="AA11" s="3"/>
      <c r="AB11" s="3"/>
      <c r="AC11" s="3"/>
    </row>
    <row r="12" spans="1:32" x14ac:dyDescent="0.35">
      <c r="A12" s="13"/>
      <c r="B12" s="42" t="s">
        <v>95</v>
      </c>
      <c r="C12" s="40">
        <f>1762.78+14879.15</f>
        <v>16641.93</v>
      </c>
      <c r="D12" s="40"/>
      <c r="E12" s="40"/>
      <c r="F12" s="40"/>
      <c r="G12" s="40"/>
      <c r="H12" s="40">
        <f>5605.5+20711</f>
        <v>26316.5</v>
      </c>
      <c r="I12" s="40"/>
      <c r="J12" s="40"/>
      <c r="K12" s="40"/>
      <c r="L12" s="40"/>
      <c r="M12" s="40">
        <f>1086.77+16912</f>
        <v>17998.77</v>
      </c>
      <c r="N12" s="40"/>
      <c r="O12" s="40"/>
      <c r="P12" s="40"/>
      <c r="Q12" s="40"/>
      <c r="R12" s="40">
        <v>16371.31</v>
      </c>
      <c r="S12" s="40"/>
      <c r="T12" s="40"/>
      <c r="U12" s="40"/>
      <c r="V12" s="40"/>
      <c r="W12" s="40">
        <v>13982.54</v>
      </c>
      <c r="X12" s="18"/>
      <c r="Y12" s="3"/>
      <c r="Z12" s="3"/>
      <c r="AA12" s="3"/>
      <c r="AB12" s="3"/>
      <c r="AC12" s="3"/>
    </row>
    <row r="13" spans="1:32" x14ac:dyDescent="0.35">
      <c r="A13" s="13"/>
      <c r="B13" s="42" t="s">
        <v>96</v>
      </c>
      <c r="C13" s="40">
        <v>574.46</v>
      </c>
      <c r="D13" s="40"/>
      <c r="E13" s="40"/>
      <c r="F13" s="40"/>
      <c r="G13" s="40"/>
      <c r="H13" s="40">
        <v>475</v>
      </c>
      <c r="I13" s="40"/>
      <c r="J13" s="40"/>
      <c r="K13" s="40"/>
      <c r="L13" s="40"/>
      <c r="M13" s="40">
        <v>169.46</v>
      </c>
      <c r="N13" s="40"/>
      <c r="O13" s="40"/>
      <c r="P13" s="40"/>
      <c r="Q13" s="40"/>
      <c r="R13" s="40">
        <v>186.85</v>
      </c>
      <c r="S13" s="40"/>
      <c r="T13" s="40"/>
      <c r="U13" s="40"/>
      <c r="V13" s="40"/>
      <c r="W13" s="40">
        <v>524.67999999999995</v>
      </c>
      <c r="X13" s="18"/>
      <c r="Y13" s="3"/>
      <c r="Z13" s="3"/>
      <c r="AA13" s="3"/>
      <c r="AB13" s="3"/>
      <c r="AC13" s="3"/>
    </row>
    <row r="14" spans="1:32" s="20" customFormat="1" x14ac:dyDescent="0.35">
      <c r="B14" s="42" t="s">
        <v>97</v>
      </c>
      <c r="C14" s="40">
        <v>6716.48</v>
      </c>
      <c r="D14" s="40"/>
      <c r="E14" s="40"/>
      <c r="F14" s="40"/>
      <c r="G14" s="40"/>
      <c r="H14" s="40">
        <v>7673.07</v>
      </c>
      <c r="I14" s="40"/>
      <c r="J14" s="40"/>
      <c r="K14" s="40"/>
      <c r="L14" s="40"/>
      <c r="M14" s="40">
        <v>1991.81</v>
      </c>
      <c r="N14" s="40"/>
      <c r="O14" s="40"/>
      <c r="P14" s="40"/>
      <c r="Q14" s="40"/>
      <c r="R14" s="40">
        <v>1273.49</v>
      </c>
      <c r="S14" s="40"/>
      <c r="T14" s="40"/>
      <c r="U14" s="40"/>
      <c r="V14" s="40"/>
      <c r="W14" s="40">
        <v>1019.93</v>
      </c>
      <c r="X14" s="16"/>
      <c r="Y14" s="3"/>
      <c r="Z14" s="3"/>
      <c r="AA14" s="3"/>
      <c r="AB14" s="3"/>
      <c r="AC14" s="3"/>
    </row>
    <row r="15" spans="1:32" s="20" customFormat="1" x14ac:dyDescent="0.35">
      <c r="B15" s="20" t="s">
        <v>98</v>
      </c>
      <c r="C15" s="40">
        <v>0</v>
      </c>
      <c r="D15" s="40"/>
      <c r="E15" s="40"/>
      <c r="F15" s="40"/>
      <c r="G15" s="40"/>
      <c r="H15" s="40">
        <v>28380.81</v>
      </c>
      <c r="I15" s="40"/>
      <c r="J15" s="40"/>
      <c r="K15" s="40"/>
      <c r="L15" s="40"/>
      <c r="M15" s="40">
        <v>36367.67</v>
      </c>
      <c r="N15" s="40"/>
      <c r="O15" s="40"/>
      <c r="P15" s="40"/>
      <c r="Q15" s="40"/>
      <c r="R15" s="40">
        <v>43792.52</v>
      </c>
      <c r="S15" s="40"/>
      <c r="T15" s="40"/>
      <c r="U15" s="40"/>
      <c r="V15" s="40"/>
      <c r="W15" s="40">
        <v>52393.25</v>
      </c>
      <c r="X15" s="16"/>
      <c r="Y15" s="3"/>
      <c r="Z15" s="3"/>
      <c r="AA15" s="3"/>
      <c r="AB15" s="3"/>
      <c r="AC15" s="3"/>
    </row>
    <row r="16" spans="1:32" s="20" customFormat="1" x14ac:dyDescent="0.35">
      <c r="B16" s="42" t="s">
        <v>99</v>
      </c>
      <c r="C16" s="40">
        <v>37.99</v>
      </c>
      <c r="D16" s="40"/>
      <c r="E16" s="40"/>
      <c r="F16" s="40"/>
      <c r="G16" s="40"/>
      <c r="H16" s="40">
        <v>0</v>
      </c>
      <c r="I16" s="40"/>
      <c r="J16" s="40"/>
      <c r="K16" s="40"/>
      <c r="L16" s="40"/>
      <c r="M16" s="40">
        <v>0</v>
      </c>
      <c r="N16" s="40"/>
      <c r="O16" s="40"/>
      <c r="P16" s="40"/>
      <c r="Q16" s="40"/>
      <c r="R16" s="40">
        <v>0</v>
      </c>
      <c r="S16" s="40"/>
      <c r="T16" s="40"/>
      <c r="U16" s="40"/>
      <c r="V16" s="40"/>
      <c r="W16" s="40">
        <v>0</v>
      </c>
      <c r="X16" s="16"/>
      <c r="Y16" s="3"/>
      <c r="Z16" s="3"/>
      <c r="AA16" s="3"/>
      <c r="AB16" s="3"/>
      <c r="AC16" s="3"/>
    </row>
    <row r="17" spans="1:32" s="20" customFormat="1" x14ac:dyDescent="0.35">
      <c r="B17" s="20" t="s">
        <v>100</v>
      </c>
      <c r="C17" s="40">
        <v>1492.35</v>
      </c>
      <c r="D17" s="40"/>
      <c r="E17" s="40"/>
      <c r="F17" s="40"/>
      <c r="G17" s="40"/>
      <c r="H17" s="40">
        <v>927.24</v>
      </c>
      <c r="I17" s="40"/>
      <c r="J17" s="40"/>
      <c r="K17" s="40"/>
      <c r="L17" s="40"/>
      <c r="M17" s="40">
        <v>608.51</v>
      </c>
      <c r="N17" s="40"/>
      <c r="O17" s="40"/>
      <c r="P17" s="40"/>
      <c r="Q17" s="40"/>
      <c r="R17" s="40">
        <v>727.96</v>
      </c>
      <c r="S17" s="40"/>
      <c r="T17" s="40"/>
      <c r="U17" s="40"/>
      <c r="V17" s="40"/>
      <c r="W17" s="40">
        <v>952.88</v>
      </c>
      <c r="X17" s="23"/>
      <c r="Y17" s="17"/>
      <c r="Z17" s="17"/>
      <c r="AA17" s="17"/>
      <c r="AB17" s="17"/>
      <c r="AC17" s="17"/>
      <c r="AD17" s="37"/>
      <c r="AE17" s="37"/>
      <c r="AF17" s="37"/>
    </row>
    <row r="18" spans="1:32" x14ac:dyDescent="0.35">
      <c r="B18" s="17" t="s">
        <v>101</v>
      </c>
      <c r="C18" s="43">
        <f t="shared" ref="C18:W18" si="0">SUM(C3:C17)</f>
        <v>139289.9</v>
      </c>
      <c r="D18" s="43">
        <f t="shared" si="0"/>
        <v>0</v>
      </c>
      <c r="E18" s="43">
        <f t="shared" si="0"/>
        <v>0</v>
      </c>
      <c r="F18" s="43">
        <f t="shared" si="0"/>
        <v>0</v>
      </c>
      <c r="G18" s="43">
        <f t="shared" si="0"/>
        <v>0</v>
      </c>
      <c r="H18" s="43">
        <f t="shared" si="0"/>
        <v>198472.37000000002</v>
      </c>
      <c r="I18" s="43">
        <f t="shared" si="0"/>
        <v>0</v>
      </c>
      <c r="J18" s="43">
        <f t="shared" si="0"/>
        <v>0</v>
      </c>
      <c r="K18" s="43">
        <f t="shared" si="0"/>
        <v>0</v>
      </c>
      <c r="L18" s="43">
        <f t="shared" si="0"/>
        <v>0</v>
      </c>
      <c r="M18" s="43">
        <f t="shared" si="0"/>
        <v>182303.77999999997</v>
      </c>
      <c r="N18" s="43">
        <f t="shared" si="0"/>
        <v>0</v>
      </c>
      <c r="O18" s="43">
        <f t="shared" si="0"/>
        <v>0</v>
      </c>
      <c r="P18" s="43">
        <f t="shared" si="0"/>
        <v>0</v>
      </c>
      <c r="Q18" s="43">
        <f t="shared" si="0"/>
        <v>0</v>
      </c>
      <c r="R18" s="43">
        <f t="shared" si="0"/>
        <v>186148.50999999998</v>
      </c>
      <c r="S18" s="43"/>
      <c r="T18" s="43"/>
      <c r="U18" s="43"/>
      <c r="V18" s="43"/>
      <c r="W18" s="43">
        <f t="shared" si="0"/>
        <v>179996.13999999998</v>
      </c>
      <c r="X18" s="18"/>
      <c r="Y18" s="29"/>
      <c r="Z18" s="29"/>
      <c r="AA18" s="29"/>
      <c r="AB18" s="29"/>
      <c r="AC18" s="29"/>
    </row>
    <row r="19" spans="1:32" x14ac:dyDescent="0.35"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18"/>
      <c r="Y19" s="3"/>
      <c r="Z19" s="3"/>
      <c r="AA19" s="3"/>
      <c r="AB19" s="3"/>
      <c r="AC19" s="3"/>
    </row>
    <row r="20" spans="1:32" x14ac:dyDescent="0.35">
      <c r="A20" s="13"/>
      <c r="B20" t="s">
        <v>102</v>
      </c>
      <c r="C20" s="40">
        <v>30044.65</v>
      </c>
      <c r="D20" s="40"/>
      <c r="E20" s="40"/>
      <c r="F20" s="40"/>
      <c r="G20" s="40"/>
      <c r="H20" s="40">
        <v>35761.43</v>
      </c>
      <c r="I20" s="40"/>
      <c r="J20" s="40"/>
      <c r="K20" s="40"/>
      <c r="L20" s="40"/>
      <c r="M20" s="40">
        <v>32803.93</v>
      </c>
      <c r="N20" s="40"/>
      <c r="O20" s="40"/>
      <c r="P20" s="40"/>
      <c r="Q20" s="40"/>
      <c r="R20" s="40">
        <v>32340.13</v>
      </c>
      <c r="S20" s="40"/>
      <c r="T20" s="40"/>
      <c r="U20" s="40"/>
      <c r="V20" s="40"/>
      <c r="W20" s="40">
        <v>30810.26</v>
      </c>
      <c r="X20" s="18"/>
      <c r="Y20" s="3"/>
      <c r="Z20" s="3"/>
      <c r="AA20" s="3"/>
      <c r="AB20" s="3"/>
      <c r="AC20" s="3"/>
    </row>
    <row r="21" spans="1:32" s="20" customFormat="1" x14ac:dyDescent="0.35">
      <c r="B21" s="20" t="s">
        <v>94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16"/>
      <c r="Y21" s="3"/>
      <c r="Z21" s="3"/>
      <c r="AA21" s="3"/>
      <c r="AB21" s="3"/>
      <c r="AC21" s="3"/>
    </row>
    <row r="22" spans="1:32" x14ac:dyDescent="0.35">
      <c r="A22" s="26"/>
      <c r="B22" s="44" t="s">
        <v>103</v>
      </c>
      <c r="C22" s="40">
        <v>8890.65</v>
      </c>
      <c r="D22" s="40"/>
      <c r="E22" s="40"/>
      <c r="F22" s="40"/>
      <c r="G22" s="40"/>
      <c r="H22" s="40">
        <v>3951.69</v>
      </c>
      <c r="I22" s="40"/>
      <c r="J22" s="40"/>
      <c r="K22" s="40"/>
      <c r="L22" s="40"/>
      <c r="M22" s="40">
        <v>11336.88</v>
      </c>
      <c r="N22" s="40"/>
      <c r="O22" s="40"/>
      <c r="P22" s="40"/>
      <c r="Q22" s="40"/>
      <c r="R22" s="40">
        <v>16103.95</v>
      </c>
      <c r="S22" s="40"/>
      <c r="T22" s="40"/>
      <c r="U22" s="40"/>
      <c r="V22" s="40"/>
      <c r="W22" s="40">
        <v>42401.7</v>
      </c>
      <c r="X22" s="18"/>
      <c r="Y22" s="3"/>
      <c r="Z22" s="3"/>
      <c r="AA22" s="3"/>
      <c r="AB22" s="3"/>
      <c r="AC22" s="3"/>
    </row>
    <row r="23" spans="1:32" s="32" customFormat="1" x14ac:dyDescent="0.35">
      <c r="B23" s="44" t="s">
        <v>104</v>
      </c>
      <c r="C23" s="40">
        <v>23175.31</v>
      </c>
      <c r="D23" s="40"/>
      <c r="E23" s="40"/>
      <c r="F23" s="40"/>
      <c r="G23" s="40"/>
      <c r="H23" s="40">
        <v>32091.87</v>
      </c>
      <c r="I23" s="40"/>
      <c r="J23" s="40"/>
      <c r="K23" s="40"/>
      <c r="L23" s="40"/>
      <c r="M23" s="40">
        <v>41460.36</v>
      </c>
      <c r="N23" s="40"/>
      <c r="O23" s="40"/>
      <c r="P23" s="40"/>
      <c r="Q23" s="40"/>
      <c r="R23" s="40">
        <v>49421.47</v>
      </c>
      <c r="S23" s="40"/>
      <c r="T23" s="40"/>
      <c r="U23" s="40"/>
      <c r="V23" s="40"/>
      <c r="W23" s="40">
        <v>45129.45</v>
      </c>
      <c r="X23" s="33"/>
      <c r="Y23" s="3"/>
      <c r="Z23" s="3"/>
      <c r="AA23" s="3"/>
      <c r="AB23" s="3"/>
      <c r="AC23" s="3"/>
    </row>
    <row r="24" spans="1:32" s="32" customFormat="1" x14ac:dyDescent="0.35">
      <c r="B24" s="44" t="s">
        <v>105</v>
      </c>
      <c r="C24" s="40">
        <v>1981.15</v>
      </c>
      <c r="D24" s="40"/>
      <c r="E24" s="40"/>
      <c r="F24" s="40"/>
      <c r="G24" s="40"/>
      <c r="H24" s="40">
        <v>2757.29</v>
      </c>
      <c r="I24" s="40"/>
      <c r="J24" s="40"/>
      <c r="K24" s="40"/>
      <c r="L24" s="40"/>
      <c r="M24" s="40">
        <v>4678.5</v>
      </c>
      <c r="N24" s="40"/>
      <c r="O24" s="40"/>
      <c r="P24" s="40"/>
      <c r="Q24" s="40"/>
      <c r="R24" s="40">
        <v>5295.39</v>
      </c>
      <c r="S24" s="40"/>
      <c r="T24" s="40"/>
      <c r="U24" s="40"/>
      <c r="V24" s="40"/>
      <c r="W24" s="40">
        <v>10462.51</v>
      </c>
      <c r="X24" s="36"/>
      <c r="Y24" s="3"/>
      <c r="Z24" s="3"/>
      <c r="AA24" s="3"/>
      <c r="AB24" s="3"/>
      <c r="AC24" s="3"/>
      <c r="AD24" s="45"/>
      <c r="AE24" s="45"/>
      <c r="AF24" s="45"/>
    </row>
    <row r="25" spans="1:32" x14ac:dyDescent="0.35">
      <c r="B25" s="44" t="s">
        <v>106</v>
      </c>
      <c r="C25" s="40">
        <v>34056.15</v>
      </c>
      <c r="D25" s="40"/>
      <c r="E25" s="40"/>
      <c r="F25" s="40"/>
      <c r="G25" s="40"/>
      <c r="H25" s="40">
        <v>8843.07</v>
      </c>
      <c r="I25" s="40"/>
      <c r="J25" s="40"/>
      <c r="K25" s="40"/>
      <c r="L25" s="40"/>
      <c r="M25" s="40">
        <v>13795.57</v>
      </c>
      <c r="N25" s="40"/>
      <c r="O25" s="40"/>
      <c r="P25" s="40"/>
      <c r="Q25" s="40"/>
      <c r="R25" s="40">
        <v>14842.62</v>
      </c>
      <c r="S25" s="40"/>
      <c r="T25" s="40"/>
      <c r="U25" s="40"/>
      <c r="V25" s="40"/>
      <c r="W25" s="40">
        <v>16827.5</v>
      </c>
      <c r="X25" s="18"/>
      <c r="Y25" s="3"/>
      <c r="Z25" s="3"/>
      <c r="AA25" s="3"/>
      <c r="AB25" s="3"/>
      <c r="AC25" s="3"/>
    </row>
    <row r="26" spans="1:32" x14ac:dyDescent="0.35">
      <c r="B26" s="44" t="s">
        <v>107</v>
      </c>
      <c r="C26" s="40">
        <v>302.88</v>
      </c>
      <c r="D26" s="40"/>
      <c r="E26" s="40"/>
      <c r="F26" s="40"/>
      <c r="G26" s="40"/>
      <c r="H26" s="40">
        <v>376.01</v>
      </c>
      <c r="I26" s="40"/>
      <c r="J26" s="40"/>
      <c r="K26" s="40"/>
      <c r="L26" s="40"/>
      <c r="M26" s="40">
        <v>599.45000000000005</v>
      </c>
      <c r="N26" s="40"/>
      <c r="O26" s="40"/>
      <c r="P26" s="40"/>
      <c r="Q26" s="40"/>
      <c r="R26" s="40">
        <v>417.33</v>
      </c>
      <c r="S26" s="40"/>
      <c r="T26" s="40"/>
      <c r="U26" s="40"/>
      <c r="V26" s="40"/>
      <c r="W26" s="40">
        <v>420.2</v>
      </c>
      <c r="X26" s="18"/>
      <c r="Y26" s="3"/>
      <c r="Z26" s="3"/>
      <c r="AA26" s="3"/>
      <c r="AB26" s="3"/>
      <c r="AC26" s="3"/>
    </row>
    <row r="27" spans="1:32" s="32" customFormat="1" x14ac:dyDescent="0.35">
      <c r="A27" s="20"/>
      <c r="B27" s="44" t="s">
        <v>108</v>
      </c>
      <c r="C27" s="40">
        <v>3625.45</v>
      </c>
      <c r="D27" s="40"/>
      <c r="E27" s="40"/>
      <c r="F27" s="40"/>
      <c r="G27" s="40"/>
      <c r="H27" s="40">
        <v>4567.8999999999996</v>
      </c>
      <c r="I27" s="40"/>
      <c r="J27" s="40"/>
      <c r="K27" s="40"/>
      <c r="L27" s="40"/>
      <c r="M27" s="40">
        <v>7133.47</v>
      </c>
      <c r="N27" s="40"/>
      <c r="O27" s="40"/>
      <c r="P27" s="40"/>
      <c r="Q27" s="40"/>
      <c r="R27" s="40">
        <v>7243.55</v>
      </c>
      <c r="S27" s="40"/>
      <c r="T27" s="40"/>
      <c r="U27" s="40"/>
      <c r="V27" s="40"/>
      <c r="W27" s="40">
        <v>12954.46</v>
      </c>
      <c r="X27" s="33"/>
      <c r="Y27" s="3"/>
      <c r="Z27" s="3"/>
      <c r="AA27" s="3"/>
      <c r="AB27" s="3"/>
      <c r="AC27" s="3"/>
    </row>
    <row r="28" spans="1:32" s="32" customFormat="1" x14ac:dyDescent="0.35">
      <c r="B28" s="32" t="s">
        <v>109</v>
      </c>
      <c r="C28" s="40">
        <v>0</v>
      </c>
      <c r="D28" s="40"/>
      <c r="E28" s="40"/>
      <c r="F28" s="40"/>
      <c r="G28" s="40"/>
      <c r="H28" s="40">
        <v>84.71</v>
      </c>
      <c r="I28" s="40"/>
      <c r="J28" s="40"/>
      <c r="K28" s="40"/>
      <c r="L28" s="40"/>
      <c r="M28" s="40">
        <v>69.05</v>
      </c>
      <c r="N28" s="40"/>
      <c r="O28" s="40"/>
      <c r="P28" s="40"/>
      <c r="Q28" s="40"/>
      <c r="R28" s="40">
        <v>92.61</v>
      </c>
      <c r="S28" s="40"/>
      <c r="T28" s="40"/>
      <c r="U28" s="40"/>
      <c r="V28" s="40"/>
      <c r="W28" s="40">
        <v>45.17</v>
      </c>
      <c r="X28" s="33"/>
      <c r="Y28" s="3"/>
      <c r="Z28" s="3"/>
      <c r="AA28" s="3"/>
      <c r="AB28" s="3"/>
      <c r="AC28" s="3"/>
    </row>
    <row r="29" spans="1:32" s="32" customFormat="1" x14ac:dyDescent="0.35">
      <c r="B29" s="32" t="s">
        <v>110</v>
      </c>
      <c r="C29" s="40">
        <v>10602.75</v>
      </c>
      <c r="D29" s="40"/>
      <c r="E29" s="40"/>
      <c r="F29" s="40"/>
      <c r="G29" s="40"/>
      <c r="H29" s="40">
        <v>18841.03</v>
      </c>
      <c r="I29" s="40"/>
      <c r="J29" s="40"/>
      <c r="K29" s="40"/>
      <c r="L29" s="40"/>
      <c r="M29" s="40">
        <v>16804.189999999999</v>
      </c>
      <c r="N29" s="40"/>
      <c r="O29" s="40"/>
      <c r="P29" s="40"/>
      <c r="Q29" s="40"/>
      <c r="R29" s="40">
        <v>16064.64</v>
      </c>
      <c r="S29" s="40"/>
      <c r="T29" s="40"/>
      <c r="U29" s="40"/>
      <c r="V29" s="40"/>
      <c r="W29" s="40">
        <v>14315.13</v>
      </c>
      <c r="X29" s="33"/>
      <c r="Y29" s="17"/>
      <c r="Z29" s="17"/>
      <c r="AA29" s="17"/>
      <c r="AB29" s="17"/>
      <c r="AC29" s="17"/>
    </row>
    <row r="30" spans="1:32" s="32" customFormat="1" x14ac:dyDescent="0.35">
      <c r="A30" s="25"/>
      <c r="B30" s="17" t="s">
        <v>111</v>
      </c>
      <c r="C30" s="43">
        <f t="shared" ref="C30:W30" si="1">SUM(C20:C29)</f>
        <v>112678.99</v>
      </c>
      <c r="D30" s="43">
        <f t="shared" si="1"/>
        <v>0</v>
      </c>
      <c r="E30" s="43">
        <f t="shared" si="1"/>
        <v>0</v>
      </c>
      <c r="F30" s="43">
        <f t="shared" si="1"/>
        <v>0</v>
      </c>
      <c r="G30" s="43">
        <f t="shared" si="1"/>
        <v>0</v>
      </c>
      <c r="H30" s="43">
        <f t="shared" si="1"/>
        <v>107275</v>
      </c>
      <c r="I30" s="43">
        <f t="shared" si="1"/>
        <v>0</v>
      </c>
      <c r="J30" s="43">
        <f t="shared" si="1"/>
        <v>0</v>
      </c>
      <c r="K30" s="43">
        <f t="shared" si="1"/>
        <v>0</v>
      </c>
      <c r="L30" s="43">
        <f t="shared" si="1"/>
        <v>0</v>
      </c>
      <c r="M30" s="43">
        <f t="shared" si="1"/>
        <v>128681.4</v>
      </c>
      <c r="N30" s="43">
        <f t="shared" si="1"/>
        <v>0</v>
      </c>
      <c r="O30" s="43">
        <f t="shared" si="1"/>
        <v>0</v>
      </c>
      <c r="P30" s="43">
        <f t="shared" si="1"/>
        <v>0</v>
      </c>
      <c r="Q30" s="43">
        <f t="shared" si="1"/>
        <v>0</v>
      </c>
      <c r="R30" s="43">
        <f t="shared" si="1"/>
        <v>141821.69</v>
      </c>
      <c r="S30" s="43"/>
      <c r="T30" s="43"/>
      <c r="U30" s="43"/>
      <c r="V30" s="43"/>
      <c r="W30" s="43">
        <f t="shared" si="1"/>
        <v>173366.38</v>
      </c>
      <c r="X30" s="36"/>
      <c r="Y30" s="3"/>
      <c r="Z30" s="3"/>
      <c r="AA30" s="3"/>
      <c r="AB30" s="3"/>
      <c r="AC30" s="3"/>
      <c r="AD30" s="46"/>
      <c r="AE30" s="46"/>
      <c r="AF30" s="46"/>
    </row>
    <row r="31" spans="1:32" x14ac:dyDescent="0.35">
      <c r="A31" s="38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18"/>
      <c r="Y31" s="17"/>
      <c r="Z31" s="17"/>
      <c r="AA31" s="17"/>
      <c r="AB31" s="17"/>
      <c r="AC31" s="17"/>
    </row>
    <row r="32" spans="1:32" x14ac:dyDescent="0.35">
      <c r="A32" s="38"/>
      <c r="B32" s="17" t="s">
        <v>112</v>
      </c>
      <c r="C32" s="43">
        <f t="shared" ref="C32:W32" si="2">C30+C18</f>
        <v>251968.89</v>
      </c>
      <c r="D32" s="43">
        <f t="shared" si="2"/>
        <v>0</v>
      </c>
      <c r="E32" s="43">
        <f t="shared" si="2"/>
        <v>0</v>
      </c>
      <c r="F32" s="43">
        <f t="shared" si="2"/>
        <v>0</v>
      </c>
      <c r="G32" s="43">
        <f t="shared" si="2"/>
        <v>0</v>
      </c>
      <c r="H32" s="43">
        <f t="shared" si="2"/>
        <v>305747.37</v>
      </c>
      <c r="I32" s="43">
        <f t="shared" si="2"/>
        <v>0</v>
      </c>
      <c r="J32" s="43">
        <f t="shared" si="2"/>
        <v>0</v>
      </c>
      <c r="K32" s="43">
        <f t="shared" si="2"/>
        <v>0</v>
      </c>
      <c r="L32" s="43">
        <f t="shared" si="2"/>
        <v>0</v>
      </c>
      <c r="M32" s="43">
        <f t="shared" si="2"/>
        <v>310985.17999999993</v>
      </c>
      <c r="N32" s="43">
        <f t="shared" si="2"/>
        <v>0</v>
      </c>
      <c r="O32" s="43">
        <f t="shared" si="2"/>
        <v>0</v>
      </c>
      <c r="P32" s="43">
        <f t="shared" si="2"/>
        <v>0</v>
      </c>
      <c r="Q32" s="43">
        <f t="shared" si="2"/>
        <v>0</v>
      </c>
      <c r="R32" s="43">
        <f t="shared" si="2"/>
        <v>327970.19999999995</v>
      </c>
      <c r="S32" s="43"/>
      <c r="T32" s="43"/>
      <c r="U32" s="43"/>
      <c r="V32" s="43"/>
      <c r="W32" s="43">
        <f t="shared" si="2"/>
        <v>353362.52</v>
      </c>
      <c r="X32" s="18"/>
      <c r="Y32" s="3"/>
      <c r="Z32" s="3"/>
      <c r="AA32" s="3"/>
      <c r="AB32" s="3"/>
      <c r="AC32" s="3"/>
    </row>
    <row r="33" spans="1:29" x14ac:dyDescent="0.35">
      <c r="A33" s="13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18"/>
      <c r="Y33" s="17"/>
      <c r="Z33" s="17"/>
      <c r="AA33" s="17"/>
      <c r="AB33" s="17"/>
      <c r="AC33" s="17"/>
    </row>
    <row r="34" spans="1:29" x14ac:dyDescent="0.35">
      <c r="A34" s="13"/>
      <c r="B34" s="13" t="s">
        <v>113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18"/>
      <c r="Y34" s="3"/>
      <c r="Z34" s="3"/>
      <c r="AA34" s="3"/>
      <c r="AB34" s="3"/>
      <c r="AC34" s="3"/>
    </row>
    <row r="35" spans="1:29" s="32" customFormat="1" x14ac:dyDescent="0.35">
      <c r="B35" s="13" t="s">
        <v>114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33"/>
      <c r="Y35" s="3"/>
      <c r="Z35" s="3"/>
      <c r="AA35" s="3"/>
      <c r="AB35" s="3"/>
      <c r="AC35" s="3"/>
    </row>
    <row r="36" spans="1:29" s="28" customFormat="1" x14ac:dyDescent="0.35">
      <c r="B36" s="32" t="s">
        <v>115</v>
      </c>
      <c r="C36" s="40">
        <v>4445.1400000000003</v>
      </c>
      <c r="D36" s="40"/>
      <c r="E36" s="40"/>
      <c r="F36" s="40"/>
      <c r="G36" s="40"/>
      <c r="H36" s="40">
        <v>4411.5</v>
      </c>
      <c r="I36" s="40"/>
      <c r="J36" s="40"/>
      <c r="K36" s="40"/>
      <c r="L36" s="40"/>
      <c r="M36" s="40">
        <v>4411.5</v>
      </c>
      <c r="N36" s="40"/>
      <c r="O36" s="40"/>
      <c r="P36" s="40"/>
      <c r="Q36" s="40"/>
      <c r="R36" s="40">
        <v>4365</v>
      </c>
      <c r="S36" s="40"/>
      <c r="T36" s="40"/>
      <c r="U36" s="40"/>
      <c r="V36" s="40"/>
      <c r="W36" s="40">
        <v>4365</v>
      </c>
      <c r="X36" s="29"/>
      <c r="Y36" s="19">
        <f>'Equity Scheduled'!AB3</f>
        <v>4365</v>
      </c>
      <c r="Z36" s="19">
        <f>'Equity Scheduled'!AC3</f>
        <v>4365</v>
      </c>
      <c r="AA36" s="19">
        <f>'Equity Scheduled'!AD3</f>
        <v>4365</v>
      </c>
      <c r="AB36" s="19">
        <f>'Equity Scheduled'!AE3</f>
        <v>4365</v>
      </c>
      <c r="AC36" s="19">
        <f>'Equity Scheduled'!AF3</f>
        <v>4365</v>
      </c>
    </row>
    <row r="37" spans="1:29" x14ac:dyDescent="0.35">
      <c r="A37" s="13"/>
      <c r="B37" t="s">
        <v>116</v>
      </c>
      <c r="C37" s="40">
        <v>171819.86</v>
      </c>
      <c r="D37" s="40"/>
      <c r="E37" s="40"/>
      <c r="F37" s="40"/>
      <c r="G37" s="40"/>
      <c r="H37" s="40">
        <v>203247.87</v>
      </c>
      <c r="I37" s="40"/>
      <c r="J37" s="40"/>
      <c r="K37" s="40"/>
      <c r="L37" s="40"/>
      <c r="M37" s="40">
        <v>225868.49</v>
      </c>
      <c r="N37" s="40"/>
      <c r="O37" s="40"/>
      <c r="P37" s="40"/>
      <c r="Q37" s="40"/>
      <c r="R37" s="40">
        <v>240293.79</v>
      </c>
      <c r="S37" s="40"/>
      <c r="T37" s="40"/>
      <c r="U37" s="40"/>
      <c r="V37" s="40"/>
      <c r="W37" s="40">
        <v>265114.28999999998</v>
      </c>
      <c r="X37" s="18"/>
      <c r="Y37" s="19">
        <f>'Equity Scheduled'!AB4</f>
        <v>310196.99952282</v>
      </c>
      <c r="Z37" s="19">
        <f>'Equity Scheduled'!AC4</f>
        <v>362354.71453327546</v>
      </c>
      <c r="AA37" s="19">
        <f>'Equity Scheduled'!AD4</f>
        <v>417785.50582191045</v>
      </c>
      <c r="AB37" s="19">
        <f>'Equity Scheduled'!AE4</f>
        <v>476627.21083973272</v>
      </c>
      <c r="AC37" s="19">
        <f>'Equity Scheduled'!AF4</f>
        <v>539033.5846439891</v>
      </c>
    </row>
    <row r="38" spans="1:29" s="32" customFormat="1" ht="29" x14ac:dyDescent="0.35">
      <c r="B38" s="47" t="s">
        <v>117</v>
      </c>
      <c r="C38" s="43">
        <f t="shared" ref="C38:W38" si="3">C37+C36</f>
        <v>176265</v>
      </c>
      <c r="D38" s="43">
        <f t="shared" si="3"/>
        <v>0</v>
      </c>
      <c r="E38" s="43">
        <f t="shared" si="3"/>
        <v>0</v>
      </c>
      <c r="F38" s="43">
        <f t="shared" si="3"/>
        <v>0</v>
      </c>
      <c r="G38" s="43">
        <f t="shared" si="3"/>
        <v>0</v>
      </c>
      <c r="H38" s="43">
        <f t="shared" si="3"/>
        <v>207659.37</v>
      </c>
      <c r="I38" s="43">
        <f t="shared" si="3"/>
        <v>0</v>
      </c>
      <c r="J38" s="43">
        <f t="shared" si="3"/>
        <v>0</v>
      </c>
      <c r="K38" s="43">
        <f t="shared" si="3"/>
        <v>0</v>
      </c>
      <c r="L38" s="43">
        <f t="shared" si="3"/>
        <v>0</v>
      </c>
      <c r="M38" s="43">
        <f t="shared" si="3"/>
        <v>230279.99</v>
      </c>
      <c r="N38" s="43">
        <f t="shared" si="3"/>
        <v>0</v>
      </c>
      <c r="O38" s="43">
        <f t="shared" si="3"/>
        <v>0</v>
      </c>
      <c r="P38" s="43">
        <f t="shared" si="3"/>
        <v>0</v>
      </c>
      <c r="Q38" s="43">
        <f t="shared" si="3"/>
        <v>0</v>
      </c>
      <c r="R38" s="43">
        <f t="shared" si="3"/>
        <v>244658.79</v>
      </c>
      <c r="S38" s="43"/>
      <c r="T38" s="43"/>
      <c r="U38" s="43"/>
      <c r="V38" s="43"/>
      <c r="W38" s="43">
        <f t="shared" si="3"/>
        <v>269479.28999999998</v>
      </c>
      <c r="X38" s="36"/>
      <c r="Y38" s="131">
        <f>'Equity Scheduled'!AB5</f>
        <v>314561.99952282</v>
      </c>
      <c r="Z38" s="131">
        <f>'Equity Scheduled'!AC5</f>
        <v>366719.71453327546</v>
      </c>
      <c r="AA38" s="131">
        <f>'Equity Scheduled'!AD5</f>
        <v>422150.50582191045</v>
      </c>
      <c r="AB38" s="131">
        <f>'Equity Scheduled'!AE5</f>
        <v>480992.21083973272</v>
      </c>
      <c r="AC38" s="131">
        <f>'Equity Scheduled'!AF5</f>
        <v>543398.5846439891</v>
      </c>
    </row>
    <row r="39" spans="1:29" x14ac:dyDescent="0.35">
      <c r="B39" t="s">
        <v>118</v>
      </c>
      <c r="C39" s="40">
        <v>-88.71</v>
      </c>
      <c r="D39" s="40"/>
      <c r="E39" s="40"/>
      <c r="F39" s="40"/>
      <c r="G39" s="40"/>
      <c r="H39" s="40">
        <v>-230.09</v>
      </c>
      <c r="I39" s="40"/>
      <c r="J39" s="40"/>
      <c r="K39" s="40"/>
      <c r="L39" s="40"/>
      <c r="M39" s="40">
        <v>996.48</v>
      </c>
      <c r="N39" s="40"/>
      <c r="O39" s="40"/>
      <c r="P39" s="40"/>
      <c r="Q39" s="40"/>
      <c r="R39" s="40">
        <v>1112.22</v>
      </c>
      <c r="S39" s="40"/>
      <c r="T39" s="40"/>
      <c r="U39" s="40"/>
      <c r="V39" s="40"/>
      <c r="W39" s="40">
        <v>-143.43</v>
      </c>
      <c r="X39" s="18"/>
      <c r="Y39" s="19">
        <f>'Equity Scheduled'!AB6</f>
        <v>51</v>
      </c>
      <c r="Z39" s="19">
        <f>'Equity Scheduled'!AC6</f>
        <v>51</v>
      </c>
      <c r="AA39" s="19">
        <f>'Equity Scheduled'!AD6</f>
        <v>51</v>
      </c>
      <c r="AB39" s="19">
        <f>'Equity Scheduled'!AE6</f>
        <v>51</v>
      </c>
      <c r="AC39" s="19">
        <f>'Equity Scheduled'!AF6</f>
        <v>51</v>
      </c>
    </row>
    <row r="40" spans="1:29" s="32" customFormat="1" x14ac:dyDescent="0.35">
      <c r="B40" s="13" t="s">
        <v>119</v>
      </c>
      <c r="C40" s="43">
        <f t="shared" ref="C40:W40" si="4">C38+C39</f>
        <v>176176.29</v>
      </c>
      <c r="D40" s="43">
        <f t="shared" si="4"/>
        <v>0</v>
      </c>
      <c r="E40" s="43">
        <f t="shared" si="4"/>
        <v>0</v>
      </c>
      <c r="F40" s="43">
        <f t="shared" si="4"/>
        <v>0</v>
      </c>
      <c r="G40" s="43">
        <f t="shared" si="4"/>
        <v>0</v>
      </c>
      <c r="H40" s="43">
        <f t="shared" si="4"/>
        <v>207429.28</v>
      </c>
      <c r="I40" s="43">
        <f t="shared" si="4"/>
        <v>0</v>
      </c>
      <c r="J40" s="43">
        <f t="shared" si="4"/>
        <v>0</v>
      </c>
      <c r="K40" s="43">
        <f t="shared" si="4"/>
        <v>0</v>
      </c>
      <c r="L40" s="43">
        <f t="shared" si="4"/>
        <v>0</v>
      </c>
      <c r="M40" s="43">
        <f t="shared" si="4"/>
        <v>231276.47</v>
      </c>
      <c r="N40" s="43">
        <f t="shared" si="4"/>
        <v>0</v>
      </c>
      <c r="O40" s="43">
        <f t="shared" si="4"/>
        <v>0</v>
      </c>
      <c r="P40" s="43">
        <f t="shared" si="4"/>
        <v>0</v>
      </c>
      <c r="Q40" s="43">
        <f t="shared" si="4"/>
        <v>0</v>
      </c>
      <c r="R40" s="43">
        <f t="shared" si="4"/>
        <v>245771.01</v>
      </c>
      <c r="S40" s="43"/>
      <c r="T40" s="43"/>
      <c r="U40" s="43"/>
      <c r="V40" s="43"/>
      <c r="W40" s="43">
        <f t="shared" si="4"/>
        <v>269335.86</v>
      </c>
      <c r="X40" s="33"/>
      <c r="Y40" s="131">
        <f>'Equity Scheduled'!AB7</f>
        <v>314612.99952282</v>
      </c>
      <c r="Z40" s="131">
        <f>'Equity Scheduled'!AC7</f>
        <v>366770.71453327546</v>
      </c>
      <c r="AA40" s="131">
        <f>'Equity Scheduled'!AD7</f>
        <v>422201.50582191045</v>
      </c>
      <c r="AB40" s="131">
        <f>'Equity Scheduled'!AE7</f>
        <v>481043.21083973272</v>
      </c>
      <c r="AC40" s="131">
        <f>'Equity Scheduled'!AF7</f>
        <v>543449.5846439891</v>
      </c>
    </row>
    <row r="41" spans="1:29" s="32" customFormat="1" x14ac:dyDescent="0.35"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36"/>
      <c r="Y41" s="17"/>
      <c r="Z41" s="17"/>
      <c r="AA41" s="17"/>
      <c r="AB41" s="17"/>
      <c r="AC41" s="17"/>
    </row>
    <row r="42" spans="1:29" s="28" customFormat="1" x14ac:dyDescent="0.35">
      <c r="B42" s="13" t="s">
        <v>120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29"/>
      <c r="Y42" s="17"/>
      <c r="Z42" s="17"/>
      <c r="AA42" s="17"/>
      <c r="AB42" s="17"/>
      <c r="AC42" s="17"/>
    </row>
    <row r="43" spans="1:29" x14ac:dyDescent="0.35">
      <c r="B43" s="13" t="s">
        <v>121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18"/>
      <c r="Y43" s="3"/>
      <c r="Z43" s="3"/>
      <c r="AA43" s="3"/>
      <c r="AB43" s="3"/>
      <c r="AC43" s="3"/>
    </row>
    <row r="44" spans="1:29" x14ac:dyDescent="0.35">
      <c r="A44" s="38"/>
      <c r="B44" t="s">
        <v>122</v>
      </c>
      <c r="Y44" s="3"/>
      <c r="Z44" s="3"/>
      <c r="AA44" s="3"/>
      <c r="AB44" s="3"/>
      <c r="AC44" s="3"/>
    </row>
    <row r="45" spans="1:29" x14ac:dyDescent="0.35">
      <c r="B45" t="s">
        <v>123</v>
      </c>
      <c r="C45" s="40">
        <v>420.17</v>
      </c>
      <c r="D45" s="40"/>
      <c r="E45" s="40"/>
      <c r="F45" s="40"/>
      <c r="G45" s="40"/>
      <c r="H45" s="40">
        <v>988.36</v>
      </c>
      <c r="I45" s="40"/>
      <c r="J45" s="40"/>
      <c r="K45" s="40"/>
      <c r="L45" s="40"/>
      <c r="M45" s="40">
        <v>904.85</v>
      </c>
      <c r="N45" s="40"/>
      <c r="O45" s="40"/>
      <c r="P45" s="40"/>
      <c r="Q45" s="40"/>
      <c r="R45" s="40">
        <v>1543.19</v>
      </c>
      <c r="S45" s="40"/>
      <c r="T45" s="40"/>
      <c r="U45" s="40"/>
      <c r="V45" s="40"/>
      <c r="W45" s="40">
        <v>1728.19</v>
      </c>
      <c r="Y45" s="3"/>
      <c r="Z45" s="3"/>
      <c r="AA45" s="3"/>
      <c r="AB45" s="3"/>
      <c r="AC45" s="3"/>
    </row>
    <row r="46" spans="1:29" x14ac:dyDescent="0.35">
      <c r="A46" s="26"/>
      <c r="B46" t="s">
        <v>124</v>
      </c>
      <c r="C46" s="40">
        <v>669.01</v>
      </c>
      <c r="D46" s="40"/>
      <c r="E46" s="40"/>
      <c r="F46" s="40"/>
      <c r="G46" s="40"/>
      <c r="H46" s="40">
        <v>690.74</v>
      </c>
      <c r="I46" s="40"/>
      <c r="J46" s="40"/>
      <c r="K46" s="40"/>
      <c r="L46" s="40"/>
      <c r="M46" s="40">
        <v>687.96</v>
      </c>
      <c r="N46" s="40"/>
      <c r="O46" s="40"/>
      <c r="P46" s="40"/>
      <c r="Q46" s="40"/>
      <c r="R46" s="40">
        <v>686.25</v>
      </c>
      <c r="S46" s="40"/>
      <c r="T46" s="40"/>
      <c r="U46" s="40"/>
      <c r="V46" s="40"/>
      <c r="W46" s="40">
        <v>304.27</v>
      </c>
      <c r="Y46" s="3"/>
      <c r="Z46" s="3"/>
      <c r="AA46" s="3"/>
      <c r="AB46" s="3"/>
      <c r="AC46" s="3"/>
    </row>
    <row r="47" spans="1:29" x14ac:dyDescent="0.35">
      <c r="A47" s="13"/>
      <c r="B47" t="s">
        <v>125</v>
      </c>
      <c r="C47" s="40">
        <v>2296.58</v>
      </c>
      <c r="D47" s="40"/>
      <c r="E47" s="40"/>
      <c r="F47" s="40"/>
      <c r="G47" s="40"/>
      <c r="H47" s="40">
        <v>2523.13</v>
      </c>
      <c r="I47" s="40"/>
      <c r="J47" s="40"/>
      <c r="K47" s="40"/>
      <c r="L47" s="40"/>
      <c r="M47" s="40">
        <v>2769.92</v>
      </c>
      <c r="N47" s="40"/>
      <c r="O47" s="40"/>
      <c r="P47" s="40"/>
      <c r="Q47" s="40"/>
      <c r="R47" s="40">
        <v>1532.08</v>
      </c>
      <c r="S47" s="40"/>
      <c r="T47" s="40"/>
      <c r="U47" s="40"/>
      <c r="V47" s="40"/>
      <c r="W47" s="40">
        <v>1929.19</v>
      </c>
      <c r="Y47" s="3"/>
      <c r="Z47" s="3"/>
      <c r="AA47" s="3"/>
      <c r="AB47" s="3"/>
      <c r="AC47" s="3"/>
    </row>
    <row r="48" spans="1:29" x14ac:dyDescent="0.35">
      <c r="A48" s="28"/>
      <c r="B48" t="s">
        <v>126</v>
      </c>
      <c r="C48" s="48">
        <v>416.35</v>
      </c>
      <c r="D48" s="48"/>
      <c r="E48" s="48"/>
      <c r="F48" s="48"/>
      <c r="G48" s="48"/>
      <c r="H48" s="48">
        <v>754.01</v>
      </c>
      <c r="I48" s="48"/>
      <c r="J48" s="48"/>
      <c r="K48" s="48"/>
      <c r="L48" s="48"/>
      <c r="M48" s="48">
        <v>1344.48</v>
      </c>
      <c r="N48" s="48"/>
      <c r="O48" s="48"/>
      <c r="P48" s="48"/>
      <c r="Q48" s="48"/>
      <c r="R48" s="48">
        <v>1088.44</v>
      </c>
      <c r="S48" s="48"/>
      <c r="T48" s="48"/>
      <c r="U48" s="48"/>
      <c r="V48" s="48"/>
      <c r="W48" s="48">
        <v>840.68</v>
      </c>
      <c r="Y48" s="3"/>
      <c r="Z48" s="3"/>
      <c r="AA48" s="3"/>
      <c r="AB48" s="3"/>
      <c r="AC48" s="3"/>
    </row>
    <row r="49" spans="2:29" x14ac:dyDescent="0.35">
      <c r="B49" t="s">
        <v>127</v>
      </c>
      <c r="C49" s="40">
        <v>1973.33</v>
      </c>
      <c r="D49" s="40"/>
      <c r="E49" s="40"/>
      <c r="F49" s="40"/>
      <c r="G49" s="40"/>
      <c r="H49" s="40">
        <v>1790.52</v>
      </c>
      <c r="I49" s="40"/>
      <c r="J49" s="40"/>
      <c r="K49" s="40"/>
      <c r="L49" s="40"/>
      <c r="M49" s="40">
        <v>1612.97</v>
      </c>
      <c r="N49" s="40"/>
      <c r="O49" s="40"/>
      <c r="P49" s="40"/>
      <c r="Q49" s="40"/>
      <c r="R49" s="40">
        <v>1466.57</v>
      </c>
      <c r="S49" s="40"/>
      <c r="T49" s="40"/>
      <c r="U49" s="40"/>
      <c r="V49" s="40"/>
      <c r="W49" s="40">
        <v>1289.42</v>
      </c>
      <c r="Y49" s="3"/>
      <c r="Z49" s="3"/>
      <c r="AA49" s="3"/>
      <c r="AB49" s="3"/>
      <c r="AC49" s="3"/>
    </row>
    <row r="50" spans="2:29" x14ac:dyDescent="0.35">
      <c r="B50" s="17" t="s">
        <v>128</v>
      </c>
      <c r="C50" s="43">
        <f t="shared" ref="C50:W50" si="5">SUM(C45:C49)</f>
        <v>5775.4400000000005</v>
      </c>
      <c r="D50" s="43">
        <f t="shared" si="5"/>
        <v>0</v>
      </c>
      <c r="E50" s="43">
        <f t="shared" si="5"/>
        <v>0</v>
      </c>
      <c r="F50" s="43">
        <f t="shared" si="5"/>
        <v>0</v>
      </c>
      <c r="G50" s="43">
        <f t="shared" si="5"/>
        <v>0</v>
      </c>
      <c r="H50" s="43">
        <f t="shared" si="5"/>
        <v>6746.76</v>
      </c>
      <c r="I50" s="43">
        <f t="shared" si="5"/>
        <v>0</v>
      </c>
      <c r="J50" s="43">
        <f t="shared" si="5"/>
        <v>0</v>
      </c>
      <c r="K50" s="43">
        <f t="shared" si="5"/>
        <v>0</v>
      </c>
      <c r="L50" s="43">
        <f t="shared" si="5"/>
        <v>0</v>
      </c>
      <c r="M50" s="43">
        <f t="shared" si="5"/>
        <v>7320.1799999999994</v>
      </c>
      <c r="N50" s="43">
        <f t="shared" si="5"/>
        <v>0</v>
      </c>
      <c r="O50" s="43">
        <f t="shared" si="5"/>
        <v>0</v>
      </c>
      <c r="P50" s="43">
        <f t="shared" si="5"/>
        <v>0</v>
      </c>
      <c r="Q50" s="43">
        <f t="shared" si="5"/>
        <v>0</v>
      </c>
      <c r="R50" s="43">
        <f t="shared" si="5"/>
        <v>6316.53</v>
      </c>
      <c r="S50" s="43"/>
      <c r="T50" s="43"/>
      <c r="U50" s="43"/>
      <c r="V50" s="43"/>
      <c r="W50" s="43">
        <f t="shared" si="5"/>
        <v>6091.75</v>
      </c>
      <c r="Y50" s="17"/>
      <c r="Z50" s="17"/>
      <c r="AA50" s="17"/>
      <c r="AB50" s="17"/>
      <c r="AC50" s="17"/>
    </row>
    <row r="51" spans="2:29" x14ac:dyDescent="0.35">
      <c r="B51" s="13" t="s">
        <v>129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Y51" s="3"/>
      <c r="Z51" s="3"/>
      <c r="AA51" s="3"/>
      <c r="AB51" s="3"/>
      <c r="AC51" s="3"/>
    </row>
    <row r="52" spans="2:29" x14ac:dyDescent="0.35">
      <c r="B52" t="s">
        <v>122</v>
      </c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Y52" s="3"/>
      <c r="Z52" s="3"/>
      <c r="AA52" s="3"/>
      <c r="AB52" s="3"/>
      <c r="AC52" s="3"/>
    </row>
    <row r="53" spans="2:29" x14ac:dyDescent="0.35">
      <c r="B53" t="s">
        <v>130</v>
      </c>
      <c r="C53" s="40">
        <v>9190.93</v>
      </c>
      <c r="D53" s="40"/>
      <c r="E53" s="40"/>
      <c r="F53" s="40"/>
      <c r="G53" s="40"/>
      <c r="H53" s="40">
        <v>26371.119999999999</v>
      </c>
      <c r="I53" s="40"/>
      <c r="J53" s="40"/>
      <c r="K53" s="40"/>
      <c r="L53" s="40"/>
      <c r="M53" s="40">
        <v>7360.85</v>
      </c>
      <c r="N53" s="40"/>
      <c r="O53" s="40"/>
      <c r="P53" s="40"/>
      <c r="Q53" s="40"/>
      <c r="R53" s="40">
        <v>6568.92</v>
      </c>
      <c r="S53" s="40"/>
      <c r="T53" s="40"/>
      <c r="U53" s="40"/>
      <c r="V53" s="40"/>
      <c r="W53" s="40">
        <v>6208.47</v>
      </c>
      <c r="Y53" s="3"/>
      <c r="Z53" s="3"/>
      <c r="AA53" s="3"/>
      <c r="AB53" s="3"/>
      <c r="AC53" s="3"/>
    </row>
    <row r="54" spans="2:29" x14ac:dyDescent="0.35">
      <c r="B54" t="s">
        <v>131</v>
      </c>
      <c r="C54" s="40">
        <v>463.33</v>
      </c>
      <c r="D54" s="40"/>
      <c r="E54" s="40"/>
      <c r="F54" s="40"/>
      <c r="G54" s="40"/>
      <c r="H54" s="40">
        <v>796.06</v>
      </c>
      <c r="I54" s="40"/>
      <c r="J54" s="40"/>
      <c r="K54" s="40"/>
      <c r="L54" s="40"/>
      <c r="M54" s="40">
        <v>785.1</v>
      </c>
      <c r="N54" s="40"/>
      <c r="O54" s="40"/>
      <c r="P54" s="40"/>
      <c r="Q54" s="40"/>
      <c r="R54" s="40">
        <v>1283.48</v>
      </c>
      <c r="S54" s="40"/>
      <c r="T54" s="40"/>
      <c r="U54" s="40"/>
      <c r="V54" s="40"/>
      <c r="W54" s="40">
        <v>1042.43</v>
      </c>
      <c r="Y54" s="3"/>
      <c r="Z54" s="3"/>
      <c r="AA54" s="3"/>
      <c r="AB54" s="3"/>
      <c r="AC54" s="3"/>
    </row>
    <row r="55" spans="2:29" x14ac:dyDescent="0.35">
      <c r="B55" s="13" t="s">
        <v>132</v>
      </c>
      <c r="Y55" s="3"/>
      <c r="Z55" s="3"/>
      <c r="AA55" s="3"/>
      <c r="AB55" s="3"/>
      <c r="AC55" s="3"/>
    </row>
    <row r="56" spans="2:29" ht="29" x14ac:dyDescent="0.35">
      <c r="B56" s="41" t="s">
        <v>133</v>
      </c>
      <c r="C56" s="40">
        <v>1213.83</v>
      </c>
      <c r="D56" s="40"/>
      <c r="E56" s="40"/>
      <c r="F56" s="40"/>
      <c r="G56" s="40"/>
      <c r="H56" s="40">
        <v>3369.6</v>
      </c>
      <c r="I56" s="40"/>
      <c r="J56" s="40"/>
      <c r="K56" s="40"/>
      <c r="L56" s="40"/>
      <c r="M56" s="40">
        <v>3128.01</v>
      </c>
      <c r="N56" s="40"/>
      <c r="O56" s="40"/>
      <c r="P56" s="40"/>
      <c r="Q56" s="40"/>
      <c r="R56" s="40">
        <v>3631.39</v>
      </c>
      <c r="S56" s="40"/>
      <c r="T56" s="40"/>
      <c r="U56" s="40"/>
      <c r="V56" s="40"/>
      <c r="W56" s="40">
        <v>5606.74</v>
      </c>
      <c r="Y56" s="3"/>
      <c r="Z56" s="3"/>
      <c r="AA56" s="3"/>
      <c r="AB56" s="3"/>
      <c r="AC56" s="3"/>
    </row>
    <row r="57" spans="2:29" ht="43.5" x14ac:dyDescent="0.35">
      <c r="B57" s="41" t="s">
        <v>134</v>
      </c>
      <c r="C57" s="48">
        <v>33853.72</v>
      </c>
      <c r="D57" s="48"/>
      <c r="E57" s="48"/>
      <c r="F57" s="48"/>
      <c r="G57" s="48"/>
      <c r="H57" s="48">
        <v>37503.85</v>
      </c>
      <c r="I57" s="48"/>
      <c r="J57" s="48"/>
      <c r="K57" s="48"/>
      <c r="L57" s="48"/>
      <c r="M57" s="48">
        <v>38501.53</v>
      </c>
      <c r="N57" s="48"/>
      <c r="O57" s="48"/>
      <c r="P57" s="48"/>
      <c r="Q57" s="48"/>
      <c r="R57" s="48">
        <v>41827.39</v>
      </c>
      <c r="S57" s="48"/>
      <c r="T57" s="48"/>
      <c r="U57" s="48"/>
      <c r="V57" s="48"/>
      <c r="W57" s="48">
        <v>37953.17</v>
      </c>
      <c r="Y57" s="3"/>
      <c r="Z57" s="3"/>
      <c r="AA57" s="3"/>
      <c r="AB57" s="3"/>
      <c r="AC57" s="3"/>
    </row>
    <row r="58" spans="2:29" x14ac:dyDescent="0.35">
      <c r="B58" t="s">
        <v>135</v>
      </c>
      <c r="C58" s="48">
        <v>5632.76</v>
      </c>
      <c r="D58" s="48"/>
      <c r="E58" s="48"/>
      <c r="F58" s="48"/>
      <c r="G58" s="48"/>
      <c r="H58" s="48">
        <v>4644.6400000000003</v>
      </c>
      <c r="I58" s="48"/>
      <c r="J58" s="48"/>
      <c r="K58" s="48"/>
      <c r="L58" s="48"/>
      <c r="M58" s="48">
        <v>5133.59</v>
      </c>
      <c r="N58" s="48"/>
      <c r="O58" s="48"/>
      <c r="P58" s="48"/>
      <c r="Q58" s="48"/>
      <c r="R58" s="48">
        <v>5670.62</v>
      </c>
      <c r="S58" s="48"/>
      <c r="T58" s="48"/>
      <c r="U58" s="48"/>
      <c r="V58" s="48"/>
      <c r="W58" s="48">
        <v>12578.92</v>
      </c>
      <c r="Y58" s="3"/>
      <c r="Z58" s="3"/>
      <c r="AA58" s="3"/>
      <c r="AB58" s="3"/>
      <c r="AC58" s="3"/>
    </row>
    <row r="59" spans="2:29" x14ac:dyDescent="0.35">
      <c r="B59" t="s">
        <v>136</v>
      </c>
      <c r="C59" s="48">
        <v>3008.24</v>
      </c>
      <c r="D59" s="48"/>
      <c r="E59" s="48"/>
      <c r="F59" s="48"/>
      <c r="G59" s="48"/>
      <c r="H59" s="48">
        <v>2543.2199999999998</v>
      </c>
      <c r="I59" s="48"/>
      <c r="J59" s="48"/>
      <c r="K59" s="48"/>
      <c r="L59" s="48"/>
      <c r="M59" s="48">
        <v>3014.65</v>
      </c>
      <c r="N59" s="48"/>
      <c r="O59" s="48"/>
      <c r="P59" s="48"/>
      <c r="Q59" s="48"/>
      <c r="R59" s="48">
        <v>3430.67</v>
      </c>
      <c r="S59" s="48"/>
      <c r="T59" s="48"/>
      <c r="U59" s="48"/>
      <c r="V59" s="48"/>
      <c r="W59" s="48">
        <v>4229.3999999999996</v>
      </c>
      <c r="Y59" s="3"/>
      <c r="Z59" s="3"/>
      <c r="AA59" s="3"/>
      <c r="AB59" s="3"/>
      <c r="AC59" s="3"/>
    </row>
    <row r="60" spans="2:29" x14ac:dyDescent="0.35">
      <c r="B60" t="s">
        <v>125</v>
      </c>
      <c r="C60" s="48">
        <v>14284.79</v>
      </c>
      <c r="D60" s="48"/>
      <c r="E60" s="48"/>
      <c r="F60" s="48"/>
      <c r="G60" s="48"/>
      <c r="H60" s="48">
        <v>14641.92</v>
      </c>
      <c r="I60" s="48"/>
      <c r="J60" s="48"/>
      <c r="K60" s="48"/>
      <c r="L60" s="48"/>
      <c r="M60" s="48">
        <v>11899.69</v>
      </c>
      <c r="N60" s="48"/>
      <c r="O60" s="48"/>
      <c r="P60" s="48"/>
      <c r="Q60" s="48"/>
      <c r="R60" s="48">
        <v>11028.83</v>
      </c>
      <c r="S60" s="48"/>
      <c r="T60" s="48"/>
      <c r="U60" s="48"/>
      <c r="V60" s="48"/>
      <c r="W60" s="48">
        <v>8532.3799999999992</v>
      </c>
      <c r="Y60" s="3"/>
      <c r="Z60" s="3"/>
      <c r="AA60" s="3"/>
      <c r="AB60" s="3"/>
      <c r="AC60" s="3"/>
    </row>
    <row r="61" spans="2:29" x14ac:dyDescent="0.35">
      <c r="B61" t="s">
        <v>137</v>
      </c>
      <c r="C61" s="48">
        <v>2369.56</v>
      </c>
      <c r="D61" s="48"/>
      <c r="E61" s="48"/>
      <c r="F61" s="48"/>
      <c r="G61" s="48"/>
      <c r="H61" s="48">
        <v>1702.04</v>
      </c>
      <c r="I61" s="48"/>
      <c r="J61" s="48"/>
      <c r="K61" s="48"/>
      <c r="L61" s="48"/>
      <c r="M61" s="48">
        <v>2565.13</v>
      </c>
      <c r="N61" s="48"/>
      <c r="O61" s="48"/>
      <c r="P61" s="48"/>
      <c r="Q61" s="48"/>
      <c r="R61" s="48">
        <v>2441.36</v>
      </c>
      <c r="S61" s="48"/>
      <c r="T61" s="48"/>
      <c r="U61" s="48"/>
      <c r="V61" s="48"/>
      <c r="W61" s="48">
        <v>1783.41</v>
      </c>
      <c r="Y61" s="3"/>
      <c r="Z61" s="3"/>
      <c r="AA61" s="3"/>
      <c r="AB61" s="3"/>
      <c r="AC61" s="3"/>
    </row>
    <row r="62" spans="2:29" x14ac:dyDescent="0.35">
      <c r="B62" s="13" t="s">
        <v>138</v>
      </c>
      <c r="C62" s="49">
        <f t="shared" ref="C62:W62" si="6">SUM(C53:C61)</f>
        <v>70017.16</v>
      </c>
      <c r="D62" s="49">
        <f t="shared" si="6"/>
        <v>0</v>
      </c>
      <c r="E62" s="49">
        <f t="shared" si="6"/>
        <v>0</v>
      </c>
      <c r="F62" s="49">
        <f t="shared" si="6"/>
        <v>0</v>
      </c>
      <c r="G62" s="49">
        <f t="shared" si="6"/>
        <v>0</v>
      </c>
      <c r="H62" s="49">
        <f t="shared" si="6"/>
        <v>91572.45</v>
      </c>
      <c r="I62" s="49">
        <f t="shared" si="6"/>
        <v>0</v>
      </c>
      <c r="J62" s="49">
        <f t="shared" si="6"/>
        <v>0</v>
      </c>
      <c r="K62" s="49">
        <f t="shared" si="6"/>
        <v>0</v>
      </c>
      <c r="L62" s="49">
        <f t="shared" si="6"/>
        <v>0</v>
      </c>
      <c r="M62" s="49">
        <f t="shared" si="6"/>
        <v>72388.55</v>
      </c>
      <c r="N62" s="49">
        <f t="shared" si="6"/>
        <v>0</v>
      </c>
      <c r="O62" s="49">
        <f t="shared" si="6"/>
        <v>0</v>
      </c>
      <c r="P62" s="49">
        <f t="shared" si="6"/>
        <v>0</v>
      </c>
      <c r="Q62" s="49">
        <f t="shared" si="6"/>
        <v>0</v>
      </c>
      <c r="R62" s="49">
        <f t="shared" si="6"/>
        <v>75882.66</v>
      </c>
      <c r="S62" s="49"/>
      <c r="T62" s="49"/>
      <c r="U62" s="49"/>
      <c r="V62" s="49"/>
      <c r="W62" s="49">
        <f t="shared" si="6"/>
        <v>77934.92</v>
      </c>
      <c r="Y62" s="3"/>
      <c r="Z62" s="3"/>
      <c r="AA62" s="3"/>
      <c r="AB62" s="3"/>
      <c r="AC62" s="3"/>
    </row>
    <row r="63" spans="2:29" x14ac:dyDescent="0.35">
      <c r="B63" s="13" t="s">
        <v>139</v>
      </c>
      <c r="C63" s="49">
        <f t="shared" ref="C63:Q63" si="7">C40+C50+C62</f>
        <v>251968.89</v>
      </c>
      <c r="D63" s="49">
        <f t="shared" si="7"/>
        <v>0</v>
      </c>
      <c r="E63" s="49">
        <f t="shared" si="7"/>
        <v>0</v>
      </c>
      <c r="F63" s="49">
        <f t="shared" si="7"/>
        <v>0</v>
      </c>
      <c r="G63" s="49">
        <f t="shared" si="7"/>
        <v>0</v>
      </c>
      <c r="H63" s="49">
        <f t="shared" si="7"/>
        <v>305748.49</v>
      </c>
      <c r="I63" s="49">
        <f t="shared" si="7"/>
        <v>0</v>
      </c>
      <c r="J63" s="49">
        <f t="shared" si="7"/>
        <v>0</v>
      </c>
      <c r="K63" s="49">
        <f t="shared" si="7"/>
        <v>0</v>
      </c>
      <c r="L63" s="49">
        <f t="shared" si="7"/>
        <v>0</v>
      </c>
      <c r="M63" s="49">
        <f t="shared" si="7"/>
        <v>310985.2</v>
      </c>
      <c r="N63" s="49">
        <f t="shared" si="7"/>
        <v>0</v>
      </c>
      <c r="O63" s="49">
        <f t="shared" si="7"/>
        <v>0</v>
      </c>
      <c r="P63" s="49">
        <f t="shared" si="7"/>
        <v>0</v>
      </c>
      <c r="Q63" s="49">
        <f t="shared" si="7"/>
        <v>0</v>
      </c>
      <c r="R63" s="49">
        <f>R62+R50+R40</f>
        <v>327970.2</v>
      </c>
      <c r="S63" s="49"/>
      <c r="T63" s="49"/>
      <c r="U63" s="49"/>
      <c r="V63" s="49"/>
      <c r="W63" s="49">
        <f>W40+W50+W62</f>
        <v>353362.52999999997</v>
      </c>
      <c r="Y63" s="3"/>
      <c r="Z63" s="3"/>
      <c r="AA63" s="3"/>
      <c r="AB63" s="3"/>
      <c r="AC63" s="3"/>
    </row>
    <row r="64" spans="2:29" x14ac:dyDescent="0.35">
      <c r="Y64" s="17"/>
      <c r="Z64" s="17"/>
      <c r="AA64" s="17"/>
      <c r="AB64" s="17"/>
      <c r="AC64" s="17"/>
    </row>
    <row r="65" spans="2:29" x14ac:dyDescent="0.35">
      <c r="Y65" s="17"/>
      <c r="Z65" s="17"/>
      <c r="AA65" s="17"/>
      <c r="AB65" s="17"/>
      <c r="AC65" s="17"/>
    </row>
    <row r="70" spans="2:29" x14ac:dyDescent="0.35">
      <c r="B70" s="13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G86"/>
  <sheetViews>
    <sheetView zoomScale="70" zoomScaleNormal="70" workbookViewId="0">
      <pane ySplit="1" topLeftCell="A2" activePane="bottomLeft" state="frozen"/>
      <selection pane="bottomLeft" activeCell="B1" sqref="B1"/>
    </sheetView>
  </sheetViews>
  <sheetFormatPr defaultColWidth="8.6328125" defaultRowHeight="14.5" outlineLevelCol="1" x14ac:dyDescent="0.35"/>
  <cols>
    <col min="2" max="2" width="53.54296875" customWidth="1"/>
    <col min="3" max="3" width="10.453125" customWidth="1"/>
    <col min="4" max="7" width="10.90625" hidden="1" customWidth="1" outlineLevel="1"/>
    <col min="8" max="8" width="10.453125" customWidth="1" collapsed="1"/>
    <col min="9" max="12" width="10.90625" hidden="1" customWidth="1" outlineLevel="1"/>
    <col min="13" max="13" width="10.453125" customWidth="1" collapsed="1"/>
    <col min="14" max="17" width="10.90625" hidden="1" customWidth="1" outlineLevel="1"/>
    <col min="18" max="18" width="10.453125" customWidth="1" collapsed="1"/>
    <col min="19" max="22" width="10.90625" hidden="1" customWidth="1" outlineLevel="1"/>
    <col min="23" max="23" width="10.453125" customWidth="1" collapsed="1"/>
    <col min="24" max="26" width="12.26953125" hidden="1" customWidth="1" outlineLevel="1"/>
    <col min="27" max="27" width="11.81640625" customWidth="1" collapsed="1"/>
    <col min="28" max="30" width="11.81640625" customWidth="1"/>
    <col min="31" max="31" width="10.453125" customWidth="1"/>
  </cols>
  <sheetData>
    <row r="1" spans="2:33" x14ac:dyDescent="0.35">
      <c r="B1" s="14" t="s">
        <v>19</v>
      </c>
      <c r="C1" s="15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5" t="s">
        <v>25</v>
      </c>
      <c r="I1" s="16" t="s">
        <v>26</v>
      </c>
      <c r="J1" s="16" t="s">
        <v>27</v>
      </c>
      <c r="K1" s="16" t="s">
        <v>28</v>
      </c>
      <c r="L1" s="16" t="s">
        <v>29</v>
      </c>
      <c r="M1" s="15" t="s">
        <v>30</v>
      </c>
      <c r="N1" s="16" t="s">
        <v>31</v>
      </c>
      <c r="O1" s="16" t="s">
        <v>32</v>
      </c>
      <c r="P1" s="16" t="s">
        <v>33</v>
      </c>
      <c r="Q1" s="16" t="s">
        <v>34</v>
      </c>
      <c r="R1" s="15" t="s">
        <v>35</v>
      </c>
      <c r="S1" s="16" t="s">
        <v>36</v>
      </c>
      <c r="T1" s="16" t="s">
        <v>37</v>
      </c>
      <c r="U1" s="16" t="s">
        <v>38</v>
      </c>
      <c r="V1" s="16" t="s">
        <v>39</v>
      </c>
      <c r="W1" s="15" t="s">
        <v>40</v>
      </c>
      <c r="X1" s="14" t="s">
        <v>42</v>
      </c>
      <c r="Y1" s="14" t="s">
        <v>43</v>
      </c>
      <c r="Z1" s="14" t="s">
        <v>44</v>
      </c>
      <c r="AA1" s="14" t="s">
        <v>45</v>
      </c>
      <c r="AB1" s="14" t="s">
        <v>46</v>
      </c>
      <c r="AC1" s="14" t="s">
        <v>47</v>
      </c>
      <c r="AD1" s="14" t="s">
        <v>48</v>
      </c>
      <c r="AE1" s="14" t="s">
        <v>49</v>
      </c>
    </row>
    <row r="2" spans="2:33" s="13" customFormat="1" x14ac:dyDescent="0.35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40"/>
      <c r="X2" s="17"/>
      <c r="Y2" s="17"/>
      <c r="Z2" s="17"/>
      <c r="AA2" s="28"/>
      <c r="AB2" s="28"/>
      <c r="AC2" s="28"/>
      <c r="AD2" s="28"/>
      <c r="AE2" s="28"/>
      <c r="AF2" s="28"/>
    </row>
    <row r="3" spans="2:33" x14ac:dyDescent="0.35">
      <c r="B3" s="17" t="s">
        <v>141</v>
      </c>
      <c r="C3" s="50">
        <v>56892.14</v>
      </c>
      <c r="D3" s="50"/>
      <c r="E3" s="50"/>
      <c r="F3" s="50"/>
      <c r="G3" s="50"/>
      <c r="H3" s="50">
        <v>68800.5</v>
      </c>
      <c r="I3" s="50"/>
      <c r="J3" s="50"/>
      <c r="K3" s="50"/>
      <c r="L3" s="50"/>
      <c r="M3" s="50">
        <v>66954.94</v>
      </c>
      <c r="N3" s="50"/>
      <c r="O3" s="50"/>
      <c r="P3" s="50"/>
      <c r="Q3" s="50"/>
      <c r="R3" s="50">
        <v>79083.28</v>
      </c>
      <c r="S3" s="50"/>
      <c r="T3" s="50"/>
      <c r="U3" s="50"/>
      <c r="V3" s="50"/>
      <c r="W3" s="50">
        <v>89386.28</v>
      </c>
      <c r="X3" s="40"/>
      <c r="Y3" s="40"/>
      <c r="Z3" s="40"/>
      <c r="AA3" s="28"/>
      <c r="AB3" s="28"/>
      <c r="AC3" s="28"/>
      <c r="AD3" s="28"/>
      <c r="AE3" s="28"/>
      <c r="AF3" s="28"/>
      <c r="AG3" s="28"/>
    </row>
    <row r="4" spans="2:33" x14ac:dyDescent="0.35">
      <c r="B4" s="17" t="s">
        <v>142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28"/>
      <c r="AB4" s="28"/>
      <c r="AC4" s="28"/>
      <c r="AD4" s="28"/>
      <c r="AE4" s="28"/>
      <c r="AF4" s="28"/>
      <c r="AG4" s="28"/>
    </row>
    <row r="5" spans="2:33" x14ac:dyDescent="0.35">
      <c r="B5" s="17" t="s">
        <v>143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8"/>
      <c r="AB5" s="28"/>
      <c r="AC5" s="28"/>
      <c r="AD5" s="28"/>
      <c r="AE5" s="28"/>
      <c r="AF5" s="28"/>
      <c r="AG5" s="28"/>
    </row>
    <row r="6" spans="2:33" x14ac:dyDescent="0.35">
      <c r="B6" s="3" t="s">
        <v>144</v>
      </c>
      <c r="C6" s="40">
        <v>-2830.38</v>
      </c>
      <c r="D6" s="40"/>
      <c r="E6" s="40"/>
      <c r="F6" s="40"/>
      <c r="G6" s="40"/>
      <c r="H6" s="40">
        <v>-5141.38</v>
      </c>
      <c r="I6" s="40"/>
      <c r="J6" s="40"/>
      <c r="K6" s="40"/>
      <c r="L6" s="40"/>
      <c r="M6" s="40">
        <v>-547.38</v>
      </c>
      <c r="N6" s="40"/>
      <c r="O6" s="40"/>
      <c r="P6" s="40"/>
      <c r="Q6" s="40"/>
      <c r="R6" s="40">
        <v>-1686.78</v>
      </c>
      <c r="S6" s="40"/>
      <c r="T6" s="40"/>
      <c r="U6" s="40"/>
      <c r="V6" s="40"/>
      <c r="W6" s="40">
        <v>-3856.92</v>
      </c>
      <c r="X6" s="40"/>
      <c r="Y6" s="40"/>
      <c r="Z6" s="40"/>
      <c r="AA6" s="28"/>
      <c r="AB6" s="28"/>
      <c r="AC6" s="28"/>
      <c r="AD6" s="28"/>
      <c r="AE6" s="28"/>
      <c r="AF6" s="28"/>
      <c r="AG6" s="28"/>
    </row>
    <row r="7" spans="2:33" ht="14.25" customHeight="1" x14ac:dyDescent="0.35">
      <c r="B7" s="3" t="s">
        <v>145</v>
      </c>
      <c r="C7" s="40">
        <v>36695.480000000003</v>
      </c>
      <c r="D7" s="40"/>
      <c r="E7" s="40"/>
      <c r="F7" s="40"/>
      <c r="G7" s="40"/>
      <c r="H7" s="40">
        <v>33477.79</v>
      </c>
      <c r="I7" s="40"/>
      <c r="J7" s="40"/>
      <c r="K7" s="40"/>
      <c r="L7" s="40"/>
      <c r="M7" s="40">
        <v>24724.9</v>
      </c>
      <c r="N7" s="40"/>
      <c r="O7" s="40"/>
      <c r="P7" s="40"/>
      <c r="Q7" s="40"/>
      <c r="R7" s="40">
        <v>18590.59</v>
      </c>
      <c r="S7" s="40"/>
      <c r="T7" s="40"/>
      <c r="U7" s="40"/>
      <c r="V7" s="40"/>
      <c r="W7" s="40">
        <v>17821.400000000001</v>
      </c>
      <c r="X7" s="40"/>
      <c r="Y7" s="40"/>
      <c r="Z7" s="40"/>
      <c r="AA7" s="28"/>
      <c r="AB7" s="28"/>
      <c r="AC7" s="28"/>
      <c r="AD7" s="28"/>
      <c r="AE7" s="28"/>
      <c r="AF7" s="28"/>
      <c r="AG7" s="28"/>
    </row>
    <row r="8" spans="2:33" x14ac:dyDescent="0.35">
      <c r="B8" s="3" t="s">
        <v>146</v>
      </c>
      <c r="C8" s="40">
        <v>1327.13</v>
      </c>
      <c r="D8" s="40"/>
      <c r="E8" s="40"/>
      <c r="F8" s="40"/>
      <c r="G8" s="40"/>
      <c r="H8" s="40">
        <v>507.29</v>
      </c>
      <c r="I8" s="40"/>
      <c r="J8" s="40"/>
      <c r="K8" s="40"/>
      <c r="L8" s="40"/>
      <c r="M8" s="40">
        <v>739.14</v>
      </c>
      <c r="N8" s="40"/>
      <c r="O8" s="40"/>
      <c r="P8" s="40"/>
      <c r="Q8" s="40"/>
      <c r="R8" s="40">
        <v>997.72</v>
      </c>
      <c r="S8" s="40"/>
      <c r="T8" s="40"/>
      <c r="U8" s="40"/>
      <c r="V8" s="40"/>
      <c r="W8" s="40">
        <v>933.69</v>
      </c>
      <c r="X8" s="40"/>
      <c r="Y8" s="40"/>
      <c r="Z8" s="40"/>
      <c r="AA8" s="28"/>
      <c r="AB8" s="28"/>
      <c r="AC8" s="28"/>
      <c r="AD8" s="28"/>
      <c r="AE8" s="28"/>
      <c r="AF8" s="28"/>
      <c r="AG8" s="28"/>
    </row>
    <row r="9" spans="2:33" x14ac:dyDescent="0.35">
      <c r="B9" s="3" t="s">
        <v>147</v>
      </c>
      <c r="C9" s="40">
        <v>-1708.09</v>
      </c>
      <c r="D9" s="40"/>
      <c r="E9" s="40"/>
      <c r="F9" s="40"/>
      <c r="G9" s="40"/>
      <c r="H9" s="40">
        <v>-2777.99</v>
      </c>
      <c r="I9" s="40"/>
      <c r="J9" s="40"/>
      <c r="K9" s="40"/>
      <c r="L9" s="40"/>
      <c r="M9" s="40">
        <v>-1007.51</v>
      </c>
      <c r="N9" s="40"/>
      <c r="O9" s="40"/>
      <c r="P9" s="40"/>
      <c r="Q9" s="40"/>
      <c r="R9" s="40">
        <v>-1253.22</v>
      </c>
      <c r="S9" s="40"/>
      <c r="T9" s="40"/>
      <c r="U9" s="40"/>
      <c r="V9" s="40"/>
      <c r="W9" s="40">
        <v>-1999.64</v>
      </c>
      <c r="X9" s="40"/>
      <c r="Y9" s="40"/>
      <c r="Z9" s="40"/>
      <c r="AA9" s="28"/>
      <c r="AB9" s="28"/>
      <c r="AC9" s="28"/>
      <c r="AD9" s="28"/>
      <c r="AE9" s="28"/>
      <c r="AF9" s="28"/>
      <c r="AG9" s="28"/>
    </row>
    <row r="10" spans="2:33" x14ac:dyDescent="0.35">
      <c r="B10" s="3" t="s">
        <v>148</v>
      </c>
      <c r="C10" s="40">
        <v>138.37</v>
      </c>
      <c r="D10" s="40"/>
      <c r="E10" s="40"/>
      <c r="F10" s="40"/>
      <c r="G10" s="40"/>
      <c r="H10" s="40">
        <v>-81.62</v>
      </c>
      <c r="I10" s="40"/>
      <c r="J10" s="40"/>
      <c r="K10" s="40"/>
      <c r="L10" s="40"/>
      <c r="M10" s="40">
        <v>-474.19</v>
      </c>
      <c r="N10" s="40"/>
      <c r="O10" s="40"/>
      <c r="P10" s="40"/>
      <c r="Q10" s="40"/>
      <c r="R10" s="40">
        <v>-411.22</v>
      </c>
      <c r="S10" s="40"/>
      <c r="T10" s="40"/>
      <c r="U10" s="40"/>
      <c r="V10" s="40"/>
      <c r="W10" s="40">
        <v>18.809999999999999</v>
      </c>
      <c r="X10" s="40"/>
      <c r="Y10" s="40"/>
      <c r="Z10" s="40"/>
      <c r="AA10" s="28"/>
      <c r="AB10" s="28"/>
      <c r="AC10" s="28"/>
      <c r="AD10" s="28"/>
      <c r="AE10" s="28"/>
      <c r="AF10" s="28"/>
      <c r="AG10" s="28"/>
    </row>
    <row r="11" spans="2:33" x14ac:dyDescent="0.35">
      <c r="B11" s="3" t="s">
        <v>149</v>
      </c>
      <c r="C11" s="40">
        <v>0</v>
      </c>
      <c r="D11" s="40"/>
      <c r="E11" s="40"/>
      <c r="F11" s="40"/>
      <c r="G11" s="40"/>
      <c r="H11" s="40">
        <v>0</v>
      </c>
      <c r="I11" s="40"/>
      <c r="J11" s="40"/>
      <c r="K11" s="40"/>
      <c r="L11" s="40"/>
      <c r="M11" s="40">
        <v>-127.14</v>
      </c>
      <c r="N11" s="40"/>
      <c r="O11" s="40"/>
      <c r="P11" s="40"/>
      <c r="Q11" s="40"/>
      <c r="R11" s="40">
        <v>-127.14</v>
      </c>
      <c r="S11" s="40"/>
      <c r="T11" s="40"/>
      <c r="U11" s="40"/>
      <c r="V11" s="40"/>
      <c r="W11" s="40">
        <v>-127.14</v>
      </c>
      <c r="X11" s="40"/>
      <c r="Y11" s="40"/>
      <c r="Z11" s="40"/>
      <c r="AA11" s="28"/>
      <c r="AB11" s="28"/>
      <c r="AC11" s="28"/>
      <c r="AD11" s="28"/>
      <c r="AE11" s="28"/>
      <c r="AF11" s="28"/>
      <c r="AG11" s="28"/>
    </row>
    <row r="12" spans="2:33" x14ac:dyDescent="0.35">
      <c r="B12" s="3" t="s">
        <v>150</v>
      </c>
      <c r="C12" s="40">
        <v>0</v>
      </c>
      <c r="D12" s="40"/>
      <c r="E12" s="40"/>
      <c r="F12" s="40"/>
      <c r="G12" s="40"/>
      <c r="H12" s="40">
        <v>0</v>
      </c>
      <c r="I12" s="40"/>
      <c r="J12" s="40"/>
      <c r="K12" s="40"/>
      <c r="L12" s="40"/>
      <c r="M12" s="40">
        <v>-0.63</v>
      </c>
      <c r="N12" s="40"/>
      <c r="O12" s="40"/>
      <c r="P12" s="40"/>
      <c r="Q12" s="40"/>
      <c r="R12" s="40">
        <v>-0.75</v>
      </c>
      <c r="S12" s="40"/>
      <c r="T12" s="40"/>
      <c r="U12" s="40"/>
      <c r="V12" s="40"/>
      <c r="W12" s="40">
        <v>-0.75</v>
      </c>
      <c r="X12" s="40"/>
      <c r="Y12" s="40"/>
      <c r="Z12" s="40"/>
      <c r="AA12" s="28"/>
      <c r="AB12" s="28"/>
      <c r="AC12" s="28"/>
      <c r="AD12" s="28"/>
      <c r="AE12" s="28"/>
      <c r="AF12" s="28"/>
      <c r="AG12" s="28"/>
    </row>
    <row r="13" spans="2:33" x14ac:dyDescent="0.35">
      <c r="B13" s="3" t="s">
        <v>151</v>
      </c>
      <c r="C13" s="40">
        <v>417.78</v>
      </c>
      <c r="D13" s="40"/>
      <c r="E13" s="40"/>
      <c r="F13" s="40"/>
      <c r="G13" s="40"/>
      <c r="H13" s="40">
        <v>1458.42</v>
      </c>
      <c r="I13" s="40"/>
      <c r="J13" s="40"/>
      <c r="K13" s="40"/>
      <c r="L13" s="40"/>
      <c r="M13" s="40">
        <v>749.7</v>
      </c>
      <c r="N13" s="40"/>
      <c r="O13" s="40"/>
      <c r="P13" s="40"/>
      <c r="Q13" s="40"/>
      <c r="R13" s="40">
        <v>372.36</v>
      </c>
      <c r="S13" s="40"/>
      <c r="T13" s="40"/>
      <c r="U13" s="40"/>
      <c r="V13" s="40"/>
      <c r="W13" s="40">
        <v>1181.02</v>
      </c>
      <c r="X13" s="40"/>
      <c r="Y13" s="40"/>
      <c r="Z13" s="40"/>
      <c r="AA13" s="28"/>
      <c r="AB13" s="28"/>
      <c r="AC13" s="28"/>
      <c r="AD13" s="28"/>
      <c r="AE13" s="28"/>
      <c r="AF13" s="28"/>
      <c r="AG13" s="28"/>
    </row>
    <row r="14" spans="2:33" x14ac:dyDescent="0.35">
      <c r="B14" s="3" t="s">
        <v>152</v>
      </c>
      <c r="C14" s="40">
        <v>-4.83</v>
      </c>
      <c r="D14" s="40"/>
      <c r="E14" s="40"/>
      <c r="F14" s="40"/>
      <c r="G14" s="40"/>
      <c r="H14" s="40">
        <v>6.11</v>
      </c>
      <c r="I14" s="40"/>
      <c r="J14" s="40"/>
      <c r="K14" s="40"/>
      <c r="L14" s="40"/>
      <c r="M14" s="40">
        <v>-124.85</v>
      </c>
      <c r="N14" s="40"/>
      <c r="O14" s="40"/>
      <c r="P14" s="40"/>
      <c r="Q14" s="40"/>
      <c r="R14" s="40">
        <v>-210.76</v>
      </c>
      <c r="S14" s="40"/>
      <c r="T14" s="40"/>
      <c r="U14" s="40"/>
      <c r="V14" s="40"/>
      <c r="W14" s="40">
        <v>-26.62</v>
      </c>
      <c r="X14" s="40"/>
      <c r="Y14" s="40"/>
      <c r="Z14" s="40"/>
      <c r="AA14" s="28"/>
      <c r="AB14" s="28"/>
      <c r="AC14" s="28"/>
      <c r="AD14" s="28"/>
      <c r="AE14" s="28"/>
      <c r="AF14" s="28"/>
      <c r="AG14" s="28"/>
    </row>
    <row r="15" spans="2:33" x14ac:dyDescent="0.35">
      <c r="B15" s="3" t="s">
        <v>153</v>
      </c>
      <c r="C15" s="40">
        <v>-38.51</v>
      </c>
      <c r="D15" s="40"/>
      <c r="E15" s="40"/>
      <c r="F15" s="40"/>
      <c r="G15" s="40"/>
      <c r="H15" s="40">
        <v>0</v>
      </c>
      <c r="I15" s="40"/>
      <c r="J15" s="40"/>
      <c r="K15" s="40"/>
      <c r="L15" s="40"/>
      <c r="M15" s="40">
        <v>0</v>
      </c>
      <c r="N15" s="40"/>
      <c r="O15" s="40"/>
      <c r="P15" s="40"/>
      <c r="Q15" s="40"/>
      <c r="R15" s="40">
        <v>0</v>
      </c>
      <c r="S15" s="40"/>
      <c r="T15" s="40"/>
      <c r="U15" s="40"/>
      <c r="V15" s="40"/>
      <c r="W15" s="40">
        <v>0</v>
      </c>
      <c r="X15" s="40"/>
      <c r="Y15" s="40"/>
      <c r="Z15" s="40"/>
      <c r="AA15" s="28"/>
      <c r="AB15" s="28"/>
      <c r="AC15" s="28"/>
      <c r="AD15" s="28"/>
      <c r="AE15" s="28"/>
      <c r="AF15" s="28"/>
      <c r="AG15" s="28"/>
    </row>
    <row r="16" spans="2:33" x14ac:dyDescent="0.35">
      <c r="B16" s="3" t="s">
        <v>154</v>
      </c>
      <c r="C16" s="40">
        <v>-562.11</v>
      </c>
      <c r="D16" s="40"/>
      <c r="E16" s="40"/>
      <c r="F16" s="40"/>
      <c r="G16" s="40"/>
      <c r="H16" s="40">
        <v>0</v>
      </c>
      <c r="I16" s="40"/>
      <c r="J16" s="40"/>
      <c r="K16" s="40"/>
      <c r="L16" s="40"/>
      <c r="M16" s="40">
        <v>0</v>
      </c>
      <c r="N16" s="40"/>
      <c r="O16" s="40"/>
      <c r="P16" s="40"/>
      <c r="Q16" s="40"/>
      <c r="R16" s="40">
        <v>63.73</v>
      </c>
      <c r="S16" s="40"/>
      <c r="T16" s="40"/>
      <c r="U16" s="40"/>
      <c r="V16" s="40"/>
      <c r="W16" s="40">
        <v>50.44</v>
      </c>
      <c r="X16" s="40"/>
      <c r="Y16" s="40"/>
      <c r="Z16" s="40"/>
      <c r="AA16" s="28"/>
      <c r="AB16" s="28"/>
      <c r="AC16" s="28"/>
      <c r="AD16" s="28"/>
      <c r="AE16" s="28"/>
      <c r="AF16" s="28"/>
      <c r="AG16" s="28"/>
    </row>
    <row r="17" spans="2:33" x14ac:dyDescent="0.35">
      <c r="B17" s="3" t="s">
        <v>155</v>
      </c>
      <c r="C17" s="40">
        <v>-1.47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28"/>
      <c r="AB17" s="28"/>
      <c r="AC17" s="28"/>
      <c r="AD17" s="28"/>
      <c r="AE17" s="28"/>
      <c r="AF17" s="28"/>
      <c r="AG17" s="28"/>
    </row>
    <row r="18" spans="2:33" x14ac:dyDescent="0.35">
      <c r="B18" s="3" t="s">
        <v>155</v>
      </c>
      <c r="C18" s="40">
        <v>304</v>
      </c>
      <c r="D18" s="40"/>
      <c r="E18" s="40"/>
      <c r="F18" s="40"/>
      <c r="G18" s="40"/>
      <c r="H18" s="40">
        <v>0</v>
      </c>
      <c r="I18" s="40"/>
      <c r="J18" s="40"/>
      <c r="K18" s="40"/>
      <c r="L18" s="40"/>
      <c r="M18" s="40">
        <v>-332.61</v>
      </c>
      <c r="N18" s="40"/>
      <c r="O18" s="40"/>
      <c r="P18" s="40"/>
      <c r="Q18" s="40"/>
      <c r="R18" s="40">
        <v>529.03</v>
      </c>
      <c r="S18" s="40"/>
      <c r="T18" s="40"/>
      <c r="U18" s="40"/>
      <c r="V18" s="40"/>
      <c r="W18" s="40">
        <v>73.81</v>
      </c>
      <c r="X18" s="40"/>
      <c r="Y18" s="40"/>
      <c r="Z18" s="40"/>
      <c r="AA18" s="28"/>
      <c r="AB18" s="28"/>
      <c r="AC18" s="28"/>
      <c r="AD18" s="28"/>
      <c r="AE18" s="28"/>
      <c r="AF18" s="28"/>
      <c r="AG18" s="28"/>
    </row>
    <row r="19" spans="2:33" x14ac:dyDescent="0.35">
      <c r="B19" s="3" t="s">
        <v>156</v>
      </c>
      <c r="C19" s="40">
        <v>395.89</v>
      </c>
      <c r="D19" s="40"/>
      <c r="E19" s="40"/>
      <c r="F19" s="40"/>
      <c r="G19" s="40"/>
      <c r="H19" s="40">
        <v>0</v>
      </c>
      <c r="I19" s="40"/>
      <c r="J19" s="40"/>
      <c r="K19" s="40"/>
      <c r="L19" s="40"/>
      <c r="M19" s="40">
        <v>0</v>
      </c>
      <c r="N19" s="40"/>
      <c r="O19" s="40"/>
      <c r="P19" s="40"/>
      <c r="Q19" s="40"/>
      <c r="R19" s="40">
        <v>0</v>
      </c>
      <c r="S19" s="40"/>
      <c r="T19" s="40"/>
      <c r="U19" s="40"/>
      <c r="V19" s="40"/>
      <c r="W19" s="40">
        <v>0</v>
      </c>
      <c r="X19" s="40"/>
      <c r="Y19" s="40"/>
      <c r="Z19" s="40"/>
      <c r="AA19" s="28"/>
      <c r="AB19" s="28"/>
      <c r="AC19" s="28"/>
      <c r="AD19" s="28"/>
      <c r="AE19" s="28"/>
      <c r="AF19" s="28"/>
      <c r="AG19" s="28"/>
    </row>
    <row r="20" spans="2:33" x14ac:dyDescent="0.35">
      <c r="B20" s="3" t="s">
        <v>157</v>
      </c>
      <c r="C20" s="40">
        <v>0</v>
      </c>
      <c r="D20" s="40"/>
      <c r="E20" s="40"/>
      <c r="F20" s="40"/>
      <c r="G20" s="40"/>
      <c r="H20" s="40">
        <v>-53.39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28"/>
      <c r="AB20" s="28"/>
      <c r="AC20" s="28"/>
      <c r="AD20" s="28"/>
      <c r="AE20" s="28"/>
      <c r="AF20" s="28"/>
      <c r="AG20" s="28"/>
    </row>
    <row r="21" spans="2:33" x14ac:dyDescent="0.35">
      <c r="B21" s="3" t="s">
        <v>158</v>
      </c>
      <c r="C21" s="40">
        <v>16.88</v>
      </c>
      <c r="D21" s="40"/>
      <c r="E21" s="40"/>
      <c r="F21" s="40"/>
      <c r="G21" s="40"/>
      <c r="H21" s="40">
        <v>-299.55</v>
      </c>
      <c r="I21" s="40"/>
      <c r="J21" s="40"/>
      <c r="K21" s="40"/>
      <c r="L21" s="40"/>
      <c r="M21" s="40">
        <v>-3385</v>
      </c>
      <c r="N21" s="40"/>
      <c r="O21" s="40"/>
      <c r="P21" s="40"/>
      <c r="Q21" s="40"/>
      <c r="R21" s="40">
        <v>-42.29</v>
      </c>
      <c r="S21" s="40"/>
      <c r="T21" s="40"/>
      <c r="U21" s="40"/>
      <c r="V21" s="40"/>
      <c r="W21" s="40">
        <v>0</v>
      </c>
      <c r="X21" s="40"/>
      <c r="Y21" s="40"/>
      <c r="Z21" s="40"/>
      <c r="AA21" s="28"/>
      <c r="AB21" s="28"/>
      <c r="AC21" s="28"/>
      <c r="AD21" s="28"/>
      <c r="AE21" s="28"/>
      <c r="AF21" s="28"/>
      <c r="AG21" s="28"/>
    </row>
    <row r="22" spans="2:33" x14ac:dyDescent="0.35">
      <c r="B22" s="3" t="s">
        <v>159</v>
      </c>
      <c r="C22" s="40">
        <v>0</v>
      </c>
      <c r="D22" s="40"/>
      <c r="E22" s="40"/>
      <c r="F22" s="40"/>
      <c r="G22" s="40"/>
      <c r="H22" s="40">
        <v>0</v>
      </c>
      <c r="I22" s="40"/>
      <c r="J22" s="40"/>
      <c r="K22" s="40"/>
      <c r="L22" s="40"/>
      <c r="M22" s="40">
        <v>0</v>
      </c>
      <c r="N22" s="40"/>
      <c r="O22" s="40"/>
      <c r="P22" s="40"/>
      <c r="Q22" s="40"/>
      <c r="R22" s="40">
        <v>0</v>
      </c>
      <c r="S22" s="40"/>
      <c r="T22" s="40"/>
      <c r="U22" s="40"/>
      <c r="V22" s="40"/>
      <c r="W22" s="40">
        <v>0</v>
      </c>
      <c r="X22" s="40"/>
      <c r="Y22" s="40"/>
      <c r="Z22" s="40"/>
      <c r="AA22" s="28"/>
      <c r="AB22" s="28"/>
      <c r="AC22" s="28"/>
      <c r="AD22" s="28"/>
      <c r="AE22" s="28"/>
      <c r="AF22" s="28"/>
      <c r="AG22" s="28"/>
    </row>
    <row r="23" spans="2:33" x14ac:dyDescent="0.35">
      <c r="B23" s="3" t="s">
        <v>158</v>
      </c>
      <c r="C23" s="40">
        <v>-1090.74</v>
      </c>
      <c r="D23" s="40"/>
      <c r="E23" s="40"/>
      <c r="F23" s="40"/>
      <c r="G23" s="40"/>
      <c r="H23" s="40">
        <v>-341.34</v>
      </c>
      <c r="I23" s="40"/>
      <c r="J23" s="40"/>
      <c r="K23" s="40"/>
      <c r="L23" s="40"/>
      <c r="M23" s="40">
        <v>0</v>
      </c>
      <c r="N23" s="40"/>
      <c r="O23" s="40"/>
      <c r="P23" s="40"/>
      <c r="Q23" s="40"/>
      <c r="R23" s="40">
        <v>0</v>
      </c>
      <c r="S23" s="40"/>
      <c r="T23" s="40"/>
      <c r="U23" s="40"/>
      <c r="V23" s="40"/>
      <c r="W23" s="40">
        <v>0</v>
      </c>
      <c r="X23" s="40"/>
      <c r="Y23" s="40"/>
      <c r="Z23" s="40"/>
      <c r="AA23" s="28"/>
      <c r="AB23" s="28"/>
      <c r="AC23" s="28"/>
      <c r="AD23" s="28"/>
      <c r="AE23" s="28"/>
      <c r="AF23" s="28"/>
      <c r="AG23" s="28"/>
    </row>
    <row r="24" spans="2:33" x14ac:dyDescent="0.35">
      <c r="B24" s="13" t="s">
        <v>160</v>
      </c>
      <c r="C24" s="50">
        <v>89917.78</v>
      </c>
      <c r="D24" s="50"/>
      <c r="E24" s="50"/>
      <c r="F24" s="50"/>
      <c r="G24" s="50"/>
      <c r="H24" s="50">
        <v>95554.84</v>
      </c>
      <c r="I24" s="50"/>
      <c r="J24" s="50"/>
      <c r="K24" s="50"/>
      <c r="L24" s="50"/>
      <c r="M24" s="50">
        <v>87716.18</v>
      </c>
      <c r="N24" s="50"/>
      <c r="O24" s="50"/>
      <c r="P24" s="50"/>
      <c r="Q24" s="50"/>
      <c r="R24" s="50">
        <v>95904.55</v>
      </c>
      <c r="S24" s="50"/>
      <c r="T24" s="50"/>
      <c r="U24" s="50"/>
      <c r="V24" s="50"/>
      <c r="W24" s="50">
        <v>103454.38</v>
      </c>
      <c r="X24" s="40"/>
      <c r="Y24" s="40"/>
      <c r="Z24" s="40"/>
      <c r="AA24" s="28"/>
      <c r="AB24" s="28"/>
      <c r="AC24" s="28"/>
      <c r="AD24" s="28"/>
      <c r="AE24" s="28"/>
      <c r="AF24" s="28"/>
      <c r="AG24" s="28"/>
    </row>
    <row r="25" spans="2:33" s="51" customFormat="1" x14ac:dyDescent="0.35">
      <c r="B25" s="52" t="s">
        <v>84</v>
      </c>
      <c r="C25" s="53">
        <f>SUM(C3:C23)</f>
        <v>89951.540000000008</v>
      </c>
      <c r="D25" s="53">
        <f>SUM(D3:D21)</f>
        <v>0</v>
      </c>
      <c r="E25" s="53">
        <f>SUM(E3:E21)</f>
        <v>0</v>
      </c>
      <c r="F25" s="53">
        <f>SUM(F3:F21)</f>
        <v>0</v>
      </c>
      <c r="G25" s="53">
        <f>SUM(G3:G21)</f>
        <v>0</v>
      </c>
      <c r="H25" s="53">
        <f>SUM(H3:H23)</f>
        <v>95554.84</v>
      </c>
      <c r="I25" s="53">
        <f t="shared" ref="I25:R25" si="0">SUM(I3:I21)</f>
        <v>0</v>
      </c>
      <c r="J25" s="53">
        <f t="shared" si="0"/>
        <v>0</v>
      </c>
      <c r="K25" s="53">
        <f t="shared" si="0"/>
        <v>0</v>
      </c>
      <c r="L25" s="53">
        <f t="shared" si="0"/>
        <v>0</v>
      </c>
      <c r="M25" s="53">
        <f t="shared" si="0"/>
        <v>87169.369999999981</v>
      </c>
      <c r="N25" s="53">
        <f t="shared" si="0"/>
        <v>0</v>
      </c>
      <c r="O25" s="53">
        <f t="shared" si="0"/>
        <v>0</v>
      </c>
      <c r="P25" s="53">
        <f t="shared" si="0"/>
        <v>0</v>
      </c>
      <c r="Q25" s="53">
        <f t="shared" si="0"/>
        <v>0</v>
      </c>
      <c r="R25" s="53">
        <f t="shared" si="0"/>
        <v>95904.55</v>
      </c>
      <c r="S25" s="53">
        <f>SUM(S3:S24)</f>
        <v>0</v>
      </c>
      <c r="T25" s="53">
        <f>SUM(T3:T24)</f>
        <v>0</v>
      </c>
      <c r="U25" s="53">
        <f>SUM(U3:U24)</f>
        <v>0</v>
      </c>
      <c r="V25" s="53">
        <f>SUM(V3:V24)</f>
        <v>0</v>
      </c>
      <c r="W25" s="53">
        <f>SUM(W3:W21)</f>
        <v>103454.38000000002</v>
      </c>
      <c r="X25" s="53"/>
      <c r="Y25" s="53"/>
      <c r="Z25" s="53"/>
      <c r="AA25" s="28"/>
      <c r="AB25" s="28"/>
      <c r="AC25" s="28"/>
      <c r="AD25" s="28"/>
      <c r="AE25" s="28"/>
      <c r="AF25" s="28"/>
      <c r="AG25" s="28"/>
    </row>
    <row r="26" spans="2:33" x14ac:dyDescent="0.35">
      <c r="B26" s="3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28"/>
      <c r="AB26" s="28"/>
      <c r="AC26" s="28"/>
      <c r="AD26" s="28"/>
      <c r="AE26" s="28"/>
      <c r="AF26" s="28"/>
      <c r="AG26" s="28"/>
    </row>
    <row r="27" spans="2:33" x14ac:dyDescent="0.35">
      <c r="B27" s="13" t="s">
        <v>161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28"/>
      <c r="AB27" s="28"/>
      <c r="AC27" s="28"/>
      <c r="AD27" s="28"/>
      <c r="AE27" s="28"/>
      <c r="AF27" s="28"/>
      <c r="AG27" s="28"/>
    </row>
    <row r="28" spans="2:33" s="13" customFormat="1" x14ac:dyDescent="0.35">
      <c r="B28" s="13" t="s">
        <v>162</v>
      </c>
      <c r="C28" s="40">
        <v>4027.09</v>
      </c>
      <c r="D28" s="40"/>
      <c r="E28" s="40"/>
      <c r="F28" s="40"/>
      <c r="G28" s="40"/>
      <c r="H28" s="40">
        <v>3228.81</v>
      </c>
      <c r="I28" s="40"/>
      <c r="J28" s="40"/>
      <c r="K28" s="40"/>
      <c r="L28" s="40"/>
      <c r="M28" s="40">
        <v>-2701.3</v>
      </c>
      <c r="N28" s="40"/>
      <c r="O28" s="40"/>
      <c r="P28" s="40"/>
      <c r="Q28" s="40"/>
      <c r="R28" s="40">
        <v>5866.98</v>
      </c>
      <c r="S28" s="40"/>
      <c r="T28" s="40"/>
      <c r="U28" s="40"/>
      <c r="V28" s="40"/>
      <c r="W28" s="40">
        <v>-521.79999999999995</v>
      </c>
      <c r="X28" s="40"/>
      <c r="Y28" s="40"/>
      <c r="Z28" s="40"/>
      <c r="AA28" s="28"/>
      <c r="AB28" s="28"/>
      <c r="AC28" s="28"/>
      <c r="AD28" s="28"/>
      <c r="AE28" s="28"/>
      <c r="AF28" s="28"/>
      <c r="AG28" s="28"/>
    </row>
    <row r="29" spans="2:33" s="28" customFormat="1" x14ac:dyDescent="0.35">
      <c r="B29" s="28" t="s">
        <v>163</v>
      </c>
      <c r="C29" s="40">
        <v>-5579.91</v>
      </c>
      <c r="D29" s="40"/>
      <c r="E29" s="40"/>
      <c r="F29" s="40"/>
      <c r="G29" s="40"/>
      <c r="H29" s="40">
        <v>-5590.36</v>
      </c>
      <c r="I29" s="40"/>
      <c r="J29" s="40"/>
      <c r="K29" s="40"/>
      <c r="L29" s="40"/>
      <c r="M29" s="40">
        <v>3979.05</v>
      </c>
      <c r="N29" s="40"/>
      <c r="O29" s="40"/>
      <c r="P29" s="40"/>
      <c r="Q29" s="40"/>
      <c r="R29" s="40">
        <v>463.8</v>
      </c>
      <c r="S29" s="40"/>
      <c r="T29" s="40"/>
      <c r="U29" s="40"/>
      <c r="V29" s="40"/>
      <c r="W29" s="40">
        <v>1529.81</v>
      </c>
      <c r="X29" s="40"/>
      <c r="Y29" s="40"/>
      <c r="Z29" s="40"/>
    </row>
    <row r="30" spans="2:33" x14ac:dyDescent="0.35">
      <c r="B30" t="s">
        <v>164</v>
      </c>
      <c r="C30" s="40">
        <v>7330.1</v>
      </c>
      <c r="D30" s="40"/>
      <c r="E30" s="40"/>
      <c r="F30" s="40"/>
      <c r="G30" s="40"/>
      <c r="H30" s="40">
        <v>-8573.94</v>
      </c>
      <c r="I30" s="40"/>
      <c r="J30" s="40"/>
      <c r="K30" s="40"/>
      <c r="L30" s="40"/>
      <c r="M30" s="40">
        <v>-8812.2000000000007</v>
      </c>
      <c r="N30" s="40"/>
      <c r="O30" s="40"/>
      <c r="P30" s="40"/>
      <c r="Q30" s="40"/>
      <c r="R30" s="40">
        <v>-8501.43</v>
      </c>
      <c r="S30" s="40"/>
      <c r="T30" s="40"/>
      <c r="U30" s="40"/>
      <c r="V30" s="40"/>
      <c r="W30" s="40">
        <v>4213.32</v>
      </c>
      <c r="X30" s="40"/>
      <c r="Y30" s="40"/>
      <c r="Z30" s="40"/>
      <c r="AA30" s="28"/>
      <c r="AB30" s="28"/>
      <c r="AC30" s="28"/>
      <c r="AD30" s="28"/>
      <c r="AE30" s="28"/>
      <c r="AF30" s="28"/>
      <c r="AG30" s="28"/>
    </row>
    <row r="31" spans="2:33" s="13" customFormat="1" x14ac:dyDescent="0.35">
      <c r="B31" s="13" t="s">
        <v>165</v>
      </c>
      <c r="C31" s="40">
        <v>651.05999999999995</v>
      </c>
      <c r="D31" s="40"/>
      <c r="E31" s="40"/>
      <c r="F31" s="40"/>
      <c r="G31" s="40"/>
      <c r="H31" s="40">
        <v>1726.85</v>
      </c>
      <c r="I31" s="40"/>
      <c r="J31" s="40"/>
      <c r="K31" s="40"/>
      <c r="L31" s="40"/>
      <c r="M31" s="40">
        <v>5673.21</v>
      </c>
      <c r="N31" s="40"/>
      <c r="O31" s="40"/>
      <c r="P31" s="40"/>
      <c r="Q31" s="40"/>
      <c r="R31" s="40">
        <v>624.14</v>
      </c>
      <c r="S31" s="40"/>
      <c r="T31" s="40"/>
      <c r="U31" s="40"/>
      <c r="V31" s="40"/>
      <c r="W31" s="40">
        <v>180.2</v>
      </c>
      <c r="X31" s="40"/>
      <c r="Y31" s="40"/>
      <c r="Z31" s="40"/>
      <c r="AA31" s="28"/>
      <c r="AB31" s="28"/>
      <c r="AC31" s="28"/>
      <c r="AD31" s="28"/>
      <c r="AE31" s="28"/>
      <c r="AF31" s="28"/>
      <c r="AG31" s="28"/>
    </row>
    <row r="32" spans="2:33" s="28" customFormat="1" x14ac:dyDescent="0.35">
      <c r="B32" s="28" t="s">
        <v>166</v>
      </c>
      <c r="C32" s="40">
        <v>4022.71</v>
      </c>
      <c r="D32" s="40"/>
      <c r="E32" s="40"/>
      <c r="F32" s="40"/>
      <c r="G32" s="40"/>
      <c r="H32" s="40">
        <v>-8120.67</v>
      </c>
      <c r="I32" s="40"/>
      <c r="J32" s="40"/>
      <c r="K32" s="40"/>
      <c r="L32" s="40"/>
      <c r="M32" s="40">
        <v>2377.8200000000002</v>
      </c>
      <c r="N32" s="40"/>
      <c r="O32" s="40"/>
      <c r="P32" s="40"/>
      <c r="Q32" s="40"/>
      <c r="R32" s="40">
        <v>729.94</v>
      </c>
      <c r="S32" s="40"/>
      <c r="T32" s="40"/>
      <c r="U32" s="40"/>
      <c r="V32" s="40"/>
      <c r="W32" s="40">
        <v>1561.32</v>
      </c>
      <c r="X32" s="40"/>
      <c r="Y32" s="40"/>
      <c r="Z32" s="40"/>
    </row>
    <row r="33" spans="2:33" x14ac:dyDescent="0.35">
      <c r="B33" t="s">
        <v>167</v>
      </c>
      <c r="C33" s="40">
        <v>431.03</v>
      </c>
      <c r="D33" s="40"/>
      <c r="E33" s="40"/>
      <c r="F33" s="40"/>
      <c r="G33" s="40"/>
      <c r="H33" s="40">
        <v>419.39</v>
      </c>
      <c r="I33" s="40"/>
      <c r="J33" s="40"/>
      <c r="K33" s="40"/>
      <c r="L33" s="40"/>
      <c r="M33" s="40">
        <v>-1640.8</v>
      </c>
      <c r="N33" s="40"/>
      <c r="O33" s="40"/>
      <c r="P33" s="40"/>
      <c r="Q33" s="40"/>
      <c r="R33" s="40">
        <v>-2558.09</v>
      </c>
      <c r="S33" s="40"/>
      <c r="T33" s="40"/>
      <c r="U33" s="40"/>
      <c r="V33" s="40"/>
      <c r="W33" s="40">
        <v>-2351.19</v>
      </c>
      <c r="X33" s="40"/>
      <c r="Y33" s="40"/>
      <c r="Z33" s="40"/>
      <c r="AA33" s="28"/>
      <c r="AB33" s="28"/>
      <c r="AC33" s="28"/>
      <c r="AD33" s="28"/>
      <c r="AE33" s="28"/>
      <c r="AF33" s="28"/>
      <c r="AG33" s="28"/>
    </row>
    <row r="34" spans="2:33" x14ac:dyDescent="0.35">
      <c r="B34" s="3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28"/>
      <c r="AB34" s="28"/>
      <c r="AC34" s="28"/>
      <c r="AD34" s="28"/>
      <c r="AE34" s="28"/>
      <c r="AF34" s="28"/>
      <c r="AG34" s="28"/>
    </row>
    <row r="35" spans="2:33" x14ac:dyDescent="0.35">
      <c r="B35" s="17" t="s">
        <v>168</v>
      </c>
      <c r="C35" s="50">
        <v>100799.86</v>
      </c>
      <c r="D35" s="40"/>
      <c r="E35" s="40"/>
      <c r="F35" s="40"/>
      <c r="G35" s="40"/>
      <c r="H35" s="50">
        <v>78644.92</v>
      </c>
      <c r="I35" s="40"/>
      <c r="J35" s="40"/>
      <c r="K35" s="40"/>
      <c r="L35" s="40"/>
      <c r="M35" s="50">
        <v>86591.96</v>
      </c>
      <c r="N35" s="40"/>
      <c r="O35" s="40"/>
      <c r="P35" s="40"/>
      <c r="Q35" s="40"/>
      <c r="R35" s="50">
        <v>92529.89</v>
      </c>
      <c r="S35" s="40"/>
      <c r="T35" s="40"/>
      <c r="U35" s="40"/>
      <c r="V35" s="40"/>
      <c r="W35" s="50">
        <v>108066.1</v>
      </c>
      <c r="X35" s="40"/>
      <c r="Y35" s="40"/>
      <c r="Z35" s="40"/>
      <c r="AA35" s="28"/>
      <c r="AB35" s="28"/>
      <c r="AC35" s="28"/>
      <c r="AD35" s="28"/>
      <c r="AE35" s="28"/>
      <c r="AF35" s="28"/>
      <c r="AG35" s="28"/>
    </row>
    <row r="36" spans="2:33" x14ac:dyDescent="0.35">
      <c r="B36" s="3" t="s">
        <v>169</v>
      </c>
      <c r="C36" s="40">
        <v>8647.0300000000007</v>
      </c>
      <c r="D36" s="40"/>
      <c r="E36" s="40"/>
      <c r="F36" s="40"/>
      <c r="G36" s="40"/>
      <c r="H36" s="40">
        <v>14259.57</v>
      </c>
      <c r="I36" s="40"/>
      <c r="J36" s="40"/>
      <c r="K36" s="40"/>
      <c r="L36" s="40"/>
      <c r="M36" s="40">
        <v>11704.37</v>
      </c>
      <c r="N36" s="40"/>
      <c r="O36" s="40"/>
      <c r="P36" s="40"/>
      <c r="Q36" s="40"/>
      <c r="R36" s="40">
        <v>14629.31</v>
      </c>
      <c r="S36" s="40"/>
      <c r="T36" s="40"/>
      <c r="U36" s="40"/>
      <c r="V36" s="40"/>
      <c r="W36" s="40">
        <v>18479.759999999998</v>
      </c>
      <c r="X36" s="40"/>
      <c r="Y36" s="40"/>
      <c r="Z36" s="40"/>
      <c r="AA36" s="28"/>
      <c r="AB36" s="28"/>
      <c r="AC36" s="28"/>
      <c r="AD36" s="28"/>
      <c r="AE36" s="28"/>
      <c r="AF36" s="28"/>
      <c r="AG36" s="28"/>
    </row>
    <row r="37" spans="2:33" x14ac:dyDescent="0.35">
      <c r="B37" s="13" t="s">
        <v>170</v>
      </c>
      <c r="C37" s="50">
        <f t="shared" ref="C37:W37" si="1">C35-C36</f>
        <v>92152.83</v>
      </c>
      <c r="D37" s="50">
        <f t="shared" si="1"/>
        <v>0</v>
      </c>
      <c r="E37" s="50">
        <f t="shared" si="1"/>
        <v>0</v>
      </c>
      <c r="F37" s="50">
        <f t="shared" si="1"/>
        <v>0</v>
      </c>
      <c r="G37" s="50">
        <f t="shared" si="1"/>
        <v>0</v>
      </c>
      <c r="H37" s="50">
        <f t="shared" si="1"/>
        <v>64385.35</v>
      </c>
      <c r="I37" s="50">
        <f t="shared" si="1"/>
        <v>0</v>
      </c>
      <c r="J37" s="50">
        <f t="shared" si="1"/>
        <v>0</v>
      </c>
      <c r="K37" s="50">
        <f t="shared" si="1"/>
        <v>0</v>
      </c>
      <c r="L37" s="50">
        <f t="shared" si="1"/>
        <v>0</v>
      </c>
      <c r="M37" s="50">
        <f t="shared" si="1"/>
        <v>74887.590000000011</v>
      </c>
      <c r="N37" s="50">
        <f t="shared" si="1"/>
        <v>0</v>
      </c>
      <c r="O37" s="50">
        <f t="shared" si="1"/>
        <v>0</v>
      </c>
      <c r="P37" s="50">
        <f t="shared" si="1"/>
        <v>0</v>
      </c>
      <c r="Q37" s="50">
        <f t="shared" si="1"/>
        <v>0</v>
      </c>
      <c r="R37" s="50">
        <f t="shared" si="1"/>
        <v>77900.58</v>
      </c>
      <c r="S37" s="50">
        <f t="shared" si="1"/>
        <v>0</v>
      </c>
      <c r="T37" s="50">
        <f t="shared" si="1"/>
        <v>0</v>
      </c>
      <c r="U37" s="50">
        <f t="shared" si="1"/>
        <v>0</v>
      </c>
      <c r="V37" s="50">
        <f t="shared" si="1"/>
        <v>0</v>
      </c>
      <c r="W37" s="50">
        <f t="shared" si="1"/>
        <v>89586.340000000011</v>
      </c>
      <c r="X37" s="40"/>
      <c r="Y37" s="40"/>
      <c r="Z37" s="40"/>
      <c r="AA37" s="28"/>
      <c r="AB37" s="28"/>
      <c r="AC37" s="28"/>
      <c r="AD37" s="28"/>
      <c r="AE37" s="28"/>
      <c r="AF37" s="28"/>
      <c r="AG37" s="28"/>
    </row>
    <row r="38" spans="2:33" x14ac:dyDescent="0.35">
      <c r="B38" s="52" t="s">
        <v>84</v>
      </c>
      <c r="C38" s="53">
        <f t="shared" ref="C38:W38" si="2">C35-C36</f>
        <v>92152.83</v>
      </c>
      <c r="D38" s="53">
        <f t="shared" si="2"/>
        <v>0</v>
      </c>
      <c r="E38" s="53">
        <f t="shared" si="2"/>
        <v>0</v>
      </c>
      <c r="F38" s="53">
        <f t="shared" si="2"/>
        <v>0</v>
      </c>
      <c r="G38" s="53">
        <f t="shared" si="2"/>
        <v>0</v>
      </c>
      <c r="H38" s="53">
        <f t="shared" si="2"/>
        <v>64385.35</v>
      </c>
      <c r="I38" s="53">
        <f t="shared" si="2"/>
        <v>0</v>
      </c>
      <c r="J38" s="53">
        <f t="shared" si="2"/>
        <v>0</v>
      </c>
      <c r="K38" s="53">
        <f t="shared" si="2"/>
        <v>0</v>
      </c>
      <c r="L38" s="53">
        <f t="shared" si="2"/>
        <v>0</v>
      </c>
      <c r="M38" s="53">
        <f t="shared" si="2"/>
        <v>74887.590000000011</v>
      </c>
      <c r="N38" s="53">
        <f t="shared" si="2"/>
        <v>0</v>
      </c>
      <c r="O38" s="53">
        <f t="shared" si="2"/>
        <v>0</v>
      </c>
      <c r="P38" s="53">
        <f t="shared" si="2"/>
        <v>0</v>
      </c>
      <c r="Q38" s="53">
        <f t="shared" si="2"/>
        <v>0</v>
      </c>
      <c r="R38" s="53">
        <f t="shared" si="2"/>
        <v>77900.58</v>
      </c>
      <c r="S38" s="53">
        <f t="shared" si="2"/>
        <v>0</v>
      </c>
      <c r="T38" s="53">
        <f t="shared" si="2"/>
        <v>0</v>
      </c>
      <c r="U38" s="53">
        <f t="shared" si="2"/>
        <v>0</v>
      </c>
      <c r="V38" s="53">
        <f t="shared" si="2"/>
        <v>0</v>
      </c>
      <c r="W38" s="53">
        <f t="shared" si="2"/>
        <v>89586.340000000011</v>
      </c>
      <c r="X38" s="40"/>
      <c r="Y38" s="40"/>
      <c r="Z38" s="40"/>
      <c r="AA38" s="28"/>
      <c r="AB38" s="28"/>
      <c r="AC38" s="28"/>
      <c r="AD38" s="28"/>
      <c r="AE38" s="28"/>
      <c r="AF38" s="28"/>
      <c r="AG38" s="28"/>
    </row>
    <row r="39" spans="2:33" x14ac:dyDescent="0.35"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AA39" s="28"/>
      <c r="AB39" s="28"/>
      <c r="AC39" s="28"/>
      <c r="AD39" s="28"/>
      <c r="AE39" s="28"/>
      <c r="AF39" s="28"/>
      <c r="AG39" s="28"/>
    </row>
    <row r="40" spans="2:33" x14ac:dyDescent="0.35">
      <c r="B40" s="13" t="s">
        <v>171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28"/>
      <c r="AB40" s="28"/>
      <c r="AC40" s="28"/>
      <c r="AD40" s="28"/>
      <c r="AE40" s="28"/>
      <c r="AF40" s="28"/>
      <c r="AG40" s="28"/>
    </row>
    <row r="41" spans="2:33" x14ac:dyDescent="0.35">
      <c r="B41" s="3" t="s">
        <v>172</v>
      </c>
      <c r="C41" s="40">
        <v>3189.13</v>
      </c>
      <c r="D41" s="40"/>
      <c r="E41" s="40"/>
      <c r="F41" s="40"/>
      <c r="G41" s="40"/>
      <c r="H41" s="40">
        <v>2269.7800000000002</v>
      </c>
      <c r="I41" s="40"/>
      <c r="J41" s="40"/>
      <c r="K41" s="40"/>
      <c r="L41" s="40"/>
      <c r="M41" s="40">
        <v>773.83</v>
      </c>
      <c r="N41" s="40"/>
      <c r="O41" s="40"/>
      <c r="P41" s="40"/>
      <c r="Q41" s="40"/>
      <c r="R41" s="40">
        <v>1177.55</v>
      </c>
      <c r="S41" s="40"/>
      <c r="T41" s="40"/>
      <c r="U41" s="40"/>
      <c r="V41" s="40"/>
      <c r="W41" s="40">
        <v>1694.43</v>
      </c>
      <c r="X41" s="40"/>
      <c r="Y41" s="40"/>
      <c r="Z41" s="40"/>
      <c r="AA41" s="28"/>
      <c r="AB41" s="28"/>
      <c r="AC41" s="28"/>
      <c r="AD41" s="28"/>
      <c r="AE41" s="28"/>
      <c r="AF41" s="28"/>
      <c r="AG41" s="28"/>
    </row>
    <row r="42" spans="2:33" x14ac:dyDescent="0.35">
      <c r="B42" s="3" t="s">
        <v>173</v>
      </c>
      <c r="C42" s="40">
        <v>0</v>
      </c>
      <c r="D42" s="40"/>
      <c r="E42" s="40"/>
      <c r="F42" s="40"/>
      <c r="G42" s="40"/>
      <c r="H42" s="40">
        <v>0</v>
      </c>
      <c r="I42" s="40"/>
      <c r="J42" s="40"/>
      <c r="K42" s="40"/>
      <c r="L42" s="40"/>
      <c r="M42" s="40">
        <v>127.14</v>
      </c>
      <c r="N42" s="40"/>
      <c r="O42" s="40"/>
      <c r="P42" s="40"/>
      <c r="Q42" s="40"/>
      <c r="R42" s="40">
        <v>127.89</v>
      </c>
      <c r="S42" s="40"/>
      <c r="T42" s="40"/>
      <c r="U42" s="40"/>
      <c r="V42" s="40"/>
      <c r="W42" s="40">
        <v>127.89</v>
      </c>
      <c r="X42" s="40"/>
      <c r="Y42" s="40"/>
      <c r="Z42" s="40"/>
      <c r="AA42" s="28"/>
      <c r="AB42" s="28"/>
      <c r="AC42" s="28"/>
      <c r="AD42" s="28"/>
      <c r="AE42" s="28"/>
      <c r="AF42" s="28"/>
      <c r="AG42" s="28"/>
    </row>
    <row r="43" spans="2:33" x14ac:dyDescent="0.35">
      <c r="B43" s="3" t="s">
        <v>174</v>
      </c>
      <c r="C43" s="40">
        <v>-177870</v>
      </c>
      <c r="D43" s="40"/>
      <c r="E43" s="40"/>
      <c r="F43" s="40"/>
      <c r="G43" s="40"/>
      <c r="H43" s="40">
        <v>-142474.97</v>
      </c>
      <c r="I43" s="40"/>
      <c r="J43" s="40"/>
      <c r="K43" s="40"/>
      <c r="L43" s="40"/>
      <c r="M43" s="40">
        <v>-204307.21</v>
      </c>
      <c r="N43" s="40"/>
      <c r="O43" s="40"/>
      <c r="P43" s="40"/>
      <c r="Q43" s="40"/>
      <c r="R43" s="40">
        <v>-195750</v>
      </c>
      <c r="S43" s="40"/>
      <c r="T43" s="40"/>
      <c r="U43" s="40"/>
      <c r="V43" s="40"/>
      <c r="W43" s="40">
        <v>-234919.98</v>
      </c>
      <c r="X43" s="40"/>
      <c r="Y43" s="40"/>
      <c r="Z43" s="40"/>
      <c r="AA43" s="28"/>
      <c r="AB43" s="28"/>
      <c r="AC43" s="28"/>
      <c r="AD43" s="28"/>
      <c r="AE43" s="28"/>
      <c r="AF43" s="28"/>
      <c r="AG43" s="28"/>
    </row>
    <row r="44" spans="2:33" x14ac:dyDescent="0.35">
      <c r="B44" t="s">
        <v>175</v>
      </c>
      <c r="C44" s="40">
        <v>176724.76</v>
      </c>
      <c r="D44" s="40"/>
      <c r="E44" s="40"/>
      <c r="F44" s="40"/>
      <c r="G44" s="40"/>
      <c r="H44" s="40">
        <v>148680.09</v>
      </c>
      <c r="I44" s="40"/>
      <c r="J44" s="40"/>
      <c r="K44" s="40"/>
      <c r="L44" s="40"/>
      <c r="M44" s="40">
        <v>197479.23</v>
      </c>
      <c r="N44" s="40"/>
      <c r="O44" s="40"/>
      <c r="P44" s="40"/>
      <c r="Q44" s="40"/>
      <c r="R44" s="40">
        <v>192427.6</v>
      </c>
      <c r="S44" s="40"/>
      <c r="T44" s="40"/>
      <c r="U44" s="40"/>
      <c r="V44" s="40"/>
      <c r="W44" s="40">
        <v>211648.08</v>
      </c>
      <c r="X44" s="40"/>
      <c r="Y44" s="40"/>
      <c r="Z44" s="40"/>
      <c r="AA44" s="28"/>
      <c r="AB44" s="28"/>
      <c r="AC44" s="28"/>
      <c r="AD44" s="28"/>
      <c r="AE44" s="28"/>
      <c r="AF44" s="28"/>
      <c r="AG44" s="28"/>
    </row>
    <row r="45" spans="2:33" x14ac:dyDescent="0.35">
      <c r="B45" s="3" t="s">
        <v>176</v>
      </c>
      <c r="C45" s="40">
        <v>0</v>
      </c>
      <c r="D45" s="40"/>
      <c r="E45" s="40"/>
      <c r="F45" s="40"/>
      <c r="G45" s="40"/>
      <c r="H45" s="40">
        <v>0</v>
      </c>
      <c r="I45" s="40"/>
      <c r="J45" s="40"/>
      <c r="K45" s="40"/>
      <c r="L45" s="40"/>
      <c r="M45" s="40">
        <v>0</v>
      </c>
      <c r="N45" s="40"/>
      <c r="O45" s="40"/>
      <c r="P45" s="40"/>
      <c r="Q45" s="40"/>
      <c r="R45" s="40">
        <v>-1500</v>
      </c>
      <c r="S45" s="40"/>
      <c r="T45" s="40"/>
      <c r="U45" s="40"/>
      <c r="V45" s="40"/>
      <c r="W45" s="40">
        <v>0</v>
      </c>
      <c r="X45" s="40"/>
      <c r="Y45" s="40"/>
      <c r="Z45" s="40"/>
      <c r="AA45" s="28"/>
      <c r="AB45" s="28"/>
      <c r="AC45" s="28"/>
      <c r="AD45" s="28"/>
      <c r="AE45" s="28"/>
      <c r="AF45" s="28"/>
      <c r="AG45" s="28"/>
    </row>
    <row r="46" spans="2:33" s="13" customFormat="1" x14ac:dyDescent="0.35">
      <c r="B46" s="3" t="s">
        <v>177</v>
      </c>
      <c r="C46" s="40">
        <v>0</v>
      </c>
      <c r="D46" s="40"/>
      <c r="E46" s="40"/>
      <c r="F46" s="40"/>
      <c r="G46" s="40"/>
      <c r="H46" s="40">
        <v>0</v>
      </c>
      <c r="I46" s="40"/>
      <c r="J46" s="40"/>
      <c r="K46" s="40"/>
      <c r="L46" s="40"/>
      <c r="M46" s="40">
        <v>0</v>
      </c>
      <c r="N46" s="40"/>
      <c r="O46" s="40"/>
      <c r="P46" s="40"/>
      <c r="Q46" s="40"/>
      <c r="R46" s="40">
        <v>0</v>
      </c>
      <c r="S46" s="40"/>
      <c r="T46" s="40"/>
      <c r="U46" s="40"/>
      <c r="V46" s="40"/>
      <c r="W46" s="40">
        <v>-700</v>
      </c>
      <c r="X46" s="40"/>
      <c r="Y46" s="40"/>
      <c r="Z46" s="40"/>
      <c r="AA46" s="28"/>
      <c r="AB46" s="28"/>
      <c r="AC46" s="28"/>
      <c r="AD46" s="28"/>
      <c r="AE46" s="28"/>
      <c r="AF46" s="28"/>
      <c r="AG46" s="28"/>
    </row>
    <row r="47" spans="2:33" s="13" customFormat="1" x14ac:dyDescent="0.35">
      <c r="B47" s="54" t="s">
        <v>178</v>
      </c>
      <c r="C47" s="40">
        <v>-1500</v>
      </c>
      <c r="D47" s="40"/>
      <c r="E47" s="40"/>
      <c r="F47" s="40"/>
      <c r="G47" s="40"/>
      <c r="H47" s="40">
        <v>0</v>
      </c>
      <c r="I47" s="40"/>
      <c r="J47" s="40"/>
      <c r="K47" s="40"/>
      <c r="L47" s="40"/>
      <c r="M47" s="40">
        <v>0</v>
      </c>
      <c r="N47" s="40"/>
      <c r="O47" s="40"/>
      <c r="P47" s="40"/>
      <c r="Q47" s="40"/>
      <c r="R47" s="40">
        <v>0</v>
      </c>
      <c r="S47" s="40"/>
      <c r="T47" s="40"/>
      <c r="U47" s="40"/>
      <c r="V47" s="40"/>
      <c r="W47" s="40">
        <v>0</v>
      </c>
      <c r="X47" s="40"/>
      <c r="Y47" s="40"/>
      <c r="Z47" s="40"/>
      <c r="AA47" s="28"/>
      <c r="AB47" s="28"/>
      <c r="AC47" s="28"/>
      <c r="AD47" s="28"/>
      <c r="AE47" s="28"/>
      <c r="AF47" s="28"/>
      <c r="AG47" s="28"/>
    </row>
    <row r="48" spans="2:33" s="13" customFormat="1" x14ac:dyDescent="0.35">
      <c r="B48" s="13" t="s">
        <v>179</v>
      </c>
      <c r="C48" s="40">
        <v>7500</v>
      </c>
      <c r="D48" s="40"/>
      <c r="E48" s="40"/>
      <c r="F48" s="40"/>
      <c r="G48" s="40"/>
      <c r="H48" s="40">
        <v>0</v>
      </c>
      <c r="I48" s="40"/>
      <c r="J48" s="40"/>
      <c r="K48" s="40"/>
      <c r="L48" s="40"/>
      <c r="M48" s="40">
        <v>0</v>
      </c>
      <c r="N48" s="40"/>
      <c r="O48" s="40"/>
      <c r="P48" s="40"/>
      <c r="Q48" s="40"/>
      <c r="R48" s="40">
        <v>0</v>
      </c>
      <c r="S48" s="40"/>
      <c r="T48" s="40"/>
      <c r="U48" s="40"/>
      <c r="V48" s="40"/>
      <c r="W48" s="40">
        <v>0</v>
      </c>
      <c r="X48" s="40"/>
      <c r="Y48" s="40"/>
      <c r="Z48" s="40"/>
      <c r="AA48" s="28"/>
      <c r="AB48" s="28"/>
      <c r="AC48" s="28"/>
      <c r="AD48" s="28"/>
      <c r="AE48" s="28"/>
      <c r="AF48" s="28"/>
      <c r="AG48" s="28"/>
    </row>
    <row r="49" spans="2:33" s="55" customFormat="1" ht="43.5" x14ac:dyDescent="0.35">
      <c r="B49" s="41" t="s">
        <v>180</v>
      </c>
      <c r="C49" s="40">
        <v>-3369.02</v>
      </c>
      <c r="D49" s="40"/>
      <c r="E49" s="40"/>
      <c r="F49" s="40"/>
      <c r="G49" s="40"/>
      <c r="H49" s="40">
        <v>-48356.160000000003</v>
      </c>
      <c r="I49" s="40"/>
      <c r="J49" s="40"/>
      <c r="K49" s="40"/>
      <c r="L49" s="40"/>
      <c r="M49" s="40">
        <v>-4045.88</v>
      </c>
      <c r="N49" s="40"/>
      <c r="O49" s="40"/>
      <c r="P49" s="40"/>
      <c r="Q49" s="40"/>
      <c r="R49" s="40">
        <v>-4058.51</v>
      </c>
      <c r="S49" s="40"/>
      <c r="T49" s="40"/>
      <c r="U49" s="40"/>
      <c r="V49" s="40"/>
      <c r="W49" s="40">
        <v>-4457.43</v>
      </c>
      <c r="X49" s="40"/>
      <c r="Y49" s="40"/>
      <c r="Z49" s="40"/>
      <c r="AA49" s="28"/>
      <c r="AB49" s="28"/>
      <c r="AC49" s="28"/>
      <c r="AD49" s="28"/>
      <c r="AE49" s="28"/>
      <c r="AF49" s="28"/>
      <c r="AG49" s="28"/>
    </row>
    <row r="50" spans="2:33" s="55" customFormat="1" x14ac:dyDescent="0.35">
      <c r="B50" s="55" t="s">
        <v>181</v>
      </c>
      <c r="C50" s="40">
        <v>165.69</v>
      </c>
      <c r="D50" s="40"/>
      <c r="E50" s="40"/>
      <c r="F50" s="40"/>
      <c r="G50" s="40"/>
      <c r="H50" s="40">
        <v>332.72</v>
      </c>
      <c r="I50" s="40"/>
      <c r="J50" s="40"/>
      <c r="K50" s="40"/>
      <c r="L50" s="40"/>
      <c r="M50" s="40">
        <v>1036.53</v>
      </c>
      <c r="N50" s="40"/>
      <c r="O50" s="40"/>
      <c r="P50" s="40"/>
      <c r="Q50" s="40"/>
      <c r="R50" s="40">
        <v>1176.3800000000001</v>
      </c>
      <c r="S50" s="40"/>
      <c r="T50" s="40"/>
      <c r="U50" s="40"/>
      <c r="V50" s="40"/>
      <c r="W50" s="40">
        <v>114.36</v>
      </c>
      <c r="X50" s="40"/>
      <c r="Y50" s="40"/>
      <c r="Z50" s="40"/>
      <c r="AA50" s="28"/>
      <c r="AB50" s="28"/>
      <c r="AC50" s="28"/>
      <c r="AD50" s="28"/>
      <c r="AE50" s="28"/>
      <c r="AF50" s="28"/>
      <c r="AG50" s="28"/>
    </row>
    <row r="51" spans="2:33" s="13" customFormat="1" x14ac:dyDescent="0.35">
      <c r="B51" s="3" t="s">
        <v>182</v>
      </c>
      <c r="C51" s="40">
        <v>0</v>
      </c>
      <c r="D51" s="40"/>
      <c r="E51" s="40"/>
      <c r="F51" s="40"/>
      <c r="G51" s="40"/>
      <c r="H51" s="40">
        <v>-185</v>
      </c>
      <c r="I51" s="40"/>
      <c r="J51" s="40"/>
      <c r="K51" s="40"/>
      <c r="L51" s="40"/>
      <c r="M51" s="40">
        <v>-414.83</v>
      </c>
      <c r="N51" s="40"/>
      <c r="O51" s="40"/>
      <c r="P51" s="40"/>
      <c r="Q51" s="40"/>
      <c r="R51" s="40">
        <v>-580</v>
      </c>
      <c r="S51" s="40"/>
      <c r="T51" s="40"/>
      <c r="U51" s="40"/>
      <c r="V51" s="40"/>
      <c r="W51" s="40">
        <v>-1002.54</v>
      </c>
      <c r="X51" s="40"/>
      <c r="Y51" s="40"/>
      <c r="Z51" s="40"/>
      <c r="AA51" s="28"/>
      <c r="AB51" s="28"/>
      <c r="AC51" s="28"/>
      <c r="AD51" s="28"/>
      <c r="AE51" s="28"/>
      <c r="AF51" s="28"/>
      <c r="AG51" s="28"/>
    </row>
    <row r="52" spans="2:33" x14ac:dyDescent="0.35">
      <c r="B52" t="s">
        <v>183</v>
      </c>
      <c r="C52" s="40">
        <v>808.41</v>
      </c>
      <c r="D52" s="40"/>
      <c r="E52" s="40"/>
      <c r="F52" s="40"/>
      <c r="G52" s="40"/>
      <c r="H52" s="40">
        <v>134.5</v>
      </c>
      <c r="I52" s="40"/>
      <c r="J52" s="40"/>
      <c r="K52" s="40"/>
      <c r="L52" s="40"/>
      <c r="M52" s="40">
        <v>0</v>
      </c>
      <c r="N52" s="40"/>
      <c r="O52" s="40"/>
      <c r="P52" s="40"/>
      <c r="Q52" s="40"/>
      <c r="R52" s="40">
        <v>2000.65</v>
      </c>
      <c r="S52" s="40"/>
      <c r="T52" s="40"/>
      <c r="U52" s="40"/>
      <c r="V52" s="40"/>
      <c r="W52" s="40">
        <v>1634.24</v>
      </c>
      <c r="X52" s="40"/>
      <c r="Y52" s="40"/>
      <c r="Z52" s="40"/>
      <c r="AA52" s="28"/>
      <c r="AB52" s="28"/>
      <c r="AC52" s="28"/>
      <c r="AD52" s="28"/>
      <c r="AE52" s="28"/>
      <c r="AF52" s="28"/>
      <c r="AG52" s="28"/>
    </row>
    <row r="53" spans="2:33" x14ac:dyDescent="0.35">
      <c r="B53" t="s">
        <v>184</v>
      </c>
      <c r="C53" s="40">
        <v>0</v>
      </c>
      <c r="D53" s="40"/>
      <c r="E53" s="40"/>
      <c r="F53" s="40"/>
      <c r="G53" s="40"/>
      <c r="H53" s="40">
        <v>0</v>
      </c>
      <c r="I53" s="40"/>
      <c r="J53" s="40"/>
      <c r="K53" s="40"/>
      <c r="L53" s="40"/>
      <c r="M53" s="40">
        <v>0</v>
      </c>
      <c r="N53" s="40"/>
      <c r="O53" s="40"/>
      <c r="P53" s="40"/>
      <c r="Q53" s="40"/>
      <c r="R53" s="40">
        <v>-644.98</v>
      </c>
      <c r="S53" s="40"/>
      <c r="T53" s="40"/>
      <c r="U53" s="40"/>
      <c r="V53" s="40"/>
      <c r="W53" s="40">
        <v>-199.93</v>
      </c>
      <c r="X53" s="40"/>
      <c r="Y53" s="40"/>
      <c r="Z53" s="40"/>
      <c r="AA53" s="28"/>
      <c r="AB53" s="28"/>
      <c r="AC53" s="28"/>
      <c r="AD53" s="28"/>
      <c r="AE53" s="28"/>
      <c r="AF53" s="28"/>
      <c r="AG53" s="28"/>
    </row>
    <row r="54" spans="2:33" x14ac:dyDescent="0.35">
      <c r="B54" t="s">
        <v>185</v>
      </c>
      <c r="C54" s="40">
        <v>-150</v>
      </c>
      <c r="D54" s="40"/>
      <c r="E54" s="40"/>
      <c r="F54" s="40"/>
      <c r="G54" s="40"/>
      <c r="H54" s="40">
        <v>-6055.22</v>
      </c>
      <c r="I54" s="40"/>
      <c r="J54" s="40"/>
      <c r="K54" s="40"/>
      <c r="L54" s="40"/>
      <c r="M54" s="40">
        <v>-280</v>
      </c>
      <c r="N54" s="40"/>
      <c r="O54" s="40"/>
      <c r="P54" s="40"/>
      <c r="Q54" s="40"/>
      <c r="R54" s="40">
        <v>-9456.14</v>
      </c>
      <c r="S54" s="40"/>
      <c r="T54" s="40"/>
      <c r="U54" s="40"/>
      <c r="V54" s="40"/>
      <c r="W54" s="40">
        <v>0</v>
      </c>
      <c r="X54" s="40"/>
      <c r="Y54" s="40"/>
      <c r="Z54" s="40"/>
      <c r="AA54" s="28"/>
      <c r="AB54" s="28"/>
      <c r="AC54" s="28"/>
      <c r="AD54" s="28"/>
      <c r="AE54" s="28"/>
      <c r="AF54" s="28"/>
      <c r="AG54" s="28"/>
    </row>
    <row r="55" spans="2:33" x14ac:dyDescent="0.35">
      <c r="B55" t="s">
        <v>186</v>
      </c>
      <c r="C55" s="40">
        <v>-61308.57</v>
      </c>
      <c r="D55" s="40"/>
      <c r="E55" s="40"/>
      <c r="F55" s="40"/>
      <c r="G55" s="40"/>
      <c r="H55" s="40">
        <v>-12065.55</v>
      </c>
      <c r="I55" s="40"/>
      <c r="J55" s="40"/>
      <c r="K55" s="40"/>
      <c r="L55" s="40"/>
      <c r="M55" s="40">
        <v>-8847.19</v>
      </c>
      <c r="N55" s="40"/>
      <c r="O55" s="40"/>
      <c r="P55" s="40"/>
      <c r="Q55" s="40"/>
      <c r="R55" s="40">
        <v>-13837.54</v>
      </c>
      <c r="S55" s="40"/>
      <c r="T55" s="40"/>
      <c r="U55" s="40"/>
      <c r="V55" s="40"/>
      <c r="W55" s="40">
        <v>-32782.42</v>
      </c>
      <c r="X55" s="40"/>
      <c r="Y55" s="40"/>
      <c r="Z55" s="40"/>
      <c r="AA55" s="28"/>
      <c r="AB55" s="28"/>
      <c r="AC55" s="28"/>
      <c r="AD55" s="28"/>
      <c r="AE55" s="28"/>
      <c r="AF55" s="28"/>
      <c r="AG55" s="28"/>
    </row>
    <row r="56" spans="2:33" x14ac:dyDescent="0.35">
      <c r="B56" t="s">
        <v>187</v>
      </c>
      <c r="C56" s="40">
        <v>33114.69</v>
      </c>
      <c r="D56" s="40"/>
      <c r="E56" s="40"/>
      <c r="F56" s="40"/>
      <c r="G56" s="40"/>
      <c r="H56" s="40">
        <v>34229.49</v>
      </c>
      <c r="I56" s="40"/>
      <c r="J56" s="40"/>
      <c r="K56" s="40"/>
      <c r="L56" s="40"/>
      <c r="M56" s="40">
        <v>7195.41</v>
      </c>
      <c r="N56" s="40"/>
      <c r="O56" s="40"/>
      <c r="P56" s="40"/>
      <c r="Q56" s="40"/>
      <c r="R56" s="40">
        <v>8377.49</v>
      </c>
      <c r="S56" s="40"/>
      <c r="T56" s="40"/>
      <c r="U56" s="40"/>
      <c r="V56" s="40"/>
      <c r="W56" s="40">
        <v>24828.91</v>
      </c>
      <c r="X56" s="40"/>
      <c r="Y56" s="40"/>
      <c r="Z56" s="40"/>
      <c r="AA56" s="28"/>
      <c r="AB56" s="28"/>
      <c r="AC56" s="28"/>
      <c r="AD56" s="28"/>
      <c r="AE56" s="28"/>
      <c r="AF56" s="28"/>
      <c r="AG56" s="28"/>
    </row>
    <row r="57" spans="2:33" x14ac:dyDescent="0.35">
      <c r="B57" s="13" t="s">
        <v>188</v>
      </c>
      <c r="C57" s="50">
        <f t="shared" ref="C57:W57" si="3">SUM(C41:C56)</f>
        <v>-22694.909999999982</v>
      </c>
      <c r="D57" s="50">
        <f t="shared" si="3"/>
        <v>0</v>
      </c>
      <c r="E57" s="50">
        <f t="shared" si="3"/>
        <v>0</v>
      </c>
      <c r="F57" s="50">
        <f t="shared" si="3"/>
        <v>0</v>
      </c>
      <c r="G57" s="50">
        <f t="shared" si="3"/>
        <v>0</v>
      </c>
      <c r="H57" s="50">
        <f t="shared" si="3"/>
        <v>-23490.320000000014</v>
      </c>
      <c r="I57" s="50">
        <f t="shared" si="3"/>
        <v>0</v>
      </c>
      <c r="J57" s="50">
        <f t="shared" si="3"/>
        <v>0</v>
      </c>
      <c r="K57" s="50">
        <f t="shared" si="3"/>
        <v>0</v>
      </c>
      <c r="L57" s="50">
        <f t="shared" si="3"/>
        <v>0</v>
      </c>
      <c r="M57" s="50">
        <f t="shared" si="3"/>
        <v>-11282.969999999983</v>
      </c>
      <c r="N57" s="50">
        <f t="shared" si="3"/>
        <v>0</v>
      </c>
      <c r="O57" s="50">
        <f t="shared" si="3"/>
        <v>0</v>
      </c>
      <c r="P57" s="50">
        <f t="shared" si="3"/>
        <v>0</v>
      </c>
      <c r="Q57" s="50">
        <f t="shared" si="3"/>
        <v>0</v>
      </c>
      <c r="R57" s="50">
        <f t="shared" si="3"/>
        <v>-20539.609999999993</v>
      </c>
      <c r="S57" s="50">
        <f t="shared" si="3"/>
        <v>0</v>
      </c>
      <c r="T57" s="50">
        <f t="shared" si="3"/>
        <v>0</v>
      </c>
      <c r="U57" s="50">
        <f t="shared" si="3"/>
        <v>0</v>
      </c>
      <c r="V57" s="50">
        <f t="shared" si="3"/>
        <v>0</v>
      </c>
      <c r="W57" s="50">
        <f t="shared" si="3"/>
        <v>-34014.390000000014</v>
      </c>
      <c r="X57" s="40"/>
      <c r="Y57" s="40"/>
      <c r="Z57" s="40"/>
      <c r="AA57" s="28"/>
      <c r="AB57" s="28"/>
      <c r="AC57" s="28"/>
      <c r="AD57" s="28"/>
      <c r="AE57" s="28"/>
      <c r="AF57" s="28"/>
      <c r="AG57" s="28"/>
    </row>
    <row r="58" spans="2:33" x14ac:dyDescent="0.35">
      <c r="B58" s="3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28"/>
      <c r="AB58" s="28"/>
      <c r="AC58" s="28"/>
      <c r="AD58" s="28"/>
      <c r="AE58" s="28"/>
      <c r="AF58" s="28"/>
      <c r="AG58" s="28"/>
    </row>
    <row r="59" spans="2:33" x14ac:dyDescent="0.35">
      <c r="B59" s="52" t="s">
        <v>84</v>
      </c>
      <c r="C59" s="53">
        <f t="shared" ref="C59:W59" si="4">SUM(C41:C56)</f>
        <v>-22694.909999999982</v>
      </c>
      <c r="D59" s="53">
        <f t="shared" si="4"/>
        <v>0</v>
      </c>
      <c r="E59" s="53">
        <f t="shared" si="4"/>
        <v>0</v>
      </c>
      <c r="F59" s="53">
        <f t="shared" si="4"/>
        <v>0</v>
      </c>
      <c r="G59" s="53">
        <f t="shared" si="4"/>
        <v>0</v>
      </c>
      <c r="H59" s="53">
        <f t="shared" si="4"/>
        <v>-23490.320000000014</v>
      </c>
      <c r="I59" s="53">
        <f t="shared" si="4"/>
        <v>0</v>
      </c>
      <c r="J59" s="53">
        <f t="shared" si="4"/>
        <v>0</v>
      </c>
      <c r="K59" s="53">
        <f t="shared" si="4"/>
        <v>0</v>
      </c>
      <c r="L59" s="53">
        <f t="shared" si="4"/>
        <v>0</v>
      </c>
      <c r="M59" s="53">
        <f t="shared" si="4"/>
        <v>-11282.969999999983</v>
      </c>
      <c r="N59" s="53">
        <f t="shared" si="4"/>
        <v>0</v>
      </c>
      <c r="O59" s="53">
        <f t="shared" si="4"/>
        <v>0</v>
      </c>
      <c r="P59" s="53">
        <f t="shared" si="4"/>
        <v>0</v>
      </c>
      <c r="Q59" s="53">
        <f t="shared" si="4"/>
        <v>0</v>
      </c>
      <c r="R59" s="53">
        <f t="shared" si="4"/>
        <v>-20539.609999999993</v>
      </c>
      <c r="S59" s="53">
        <f t="shared" si="4"/>
        <v>0</v>
      </c>
      <c r="T59" s="53">
        <f t="shared" si="4"/>
        <v>0</v>
      </c>
      <c r="U59" s="53">
        <f t="shared" si="4"/>
        <v>0</v>
      </c>
      <c r="V59" s="53">
        <f t="shared" si="4"/>
        <v>0</v>
      </c>
      <c r="W59" s="53">
        <f t="shared" si="4"/>
        <v>-34014.390000000014</v>
      </c>
      <c r="X59" s="52"/>
      <c r="Y59" s="52"/>
      <c r="Z59" s="52"/>
      <c r="AA59" s="28"/>
      <c r="AB59" s="28"/>
      <c r="AC59" s="28"/>
      <c r="AD59" s="28"/>
      <c r="AE59" s="28"/>
      <c r="AF59" s="28"/>
      <c r="AG59" s="28"/>
    </row>
    <row r="60" spans="2:33" x14ac:dyDescent="0.35"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AA60" s="28"/>
      <c r="AB60" s="28"/>
      <c r="AC60" s="28"/>
      <c r="AD60" s="28"/>
      <c r="AE60" s="28"/>
      <c r="AF60" s="28"/>
      <c r="AG60" s="28"/>
    </row>
    <row r="61" spans="2:33" x14ac:dyDescent="0.35">
      <c r="B61" s="13" t="s">
        <v>189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28"/>
      <c r="AB61" s="28"/>
      <c r="AC61" s="28"/>
      <c r="AD61" s="28"/>
      <c r="AE61" s="28"/>
      <c r="AF61" s="28"/>
      <c r="AG61" s="28"/>
    </row>
    <row r="62" spans="2:33" s="13" customFormat="1" x14ac:dyDescent="0.35">
      <c r="B62" s="3" t="s">
        <v>190</v>
      </c>
      <c r="C62" s="40">
        <v>-17350.740000000002</v>
      </c>
      <c r="D62" s="40"/>
      <c r="E62" s="40"/>
      <c r="F62" s="40"/>
      <c r="G62" s="40"/>
      <c r="H62" s="40">
        <v>-7996.59</v>
      </c>
      <c r="I62" s="40"/>
      <c r="J62" s="40"/>
      <c r="K62" s="40"/>
      <c r="L62" s="40"/>
      <c r="M62" s="40">
        <v>-23223.21</v>
      </c>
      <c r="N62" s="40"/>
      <c r="O62" s="40"/>
      <c r="P62" s="40"/>
      <c r="Q62" s="40"/>
      <c r="R62" s="40">
        <v>-4126.51</v>
      </c>
      <c r="S62" s="40"/>
      <c r="T62" s="40"/>
      <c r="U62" s="40"/>
      <c r="V62" s="40"/>
      <c r="W62" s="40">
        <v>-11946.34</v>
      </c>
      <c r="X62" s="40"/>
      <c r="Y62" s="40"/>
      <c r="Z62" s="40"/>
      <c r="AA62" s="28"/>
      <c r="AB62" s="28"/>
      <c r="AC62" s="28"/>
      <c r="AD62" s="28"/>
      <c r="AE62" s="28"/>
      <c r="AF62" s="28"/>
      <c r="AG62" s="28"/>
    </row>
    <row r="63" spans="2:33" s="28" customFormat="1" x14ac:dyDescent="0.35">
      <c r="B63" s="3" t="s">
        <v>191</v>
      </c>
      <c r="C63" s="40">
        <v>18739.099999999999</v>
      </c>
      <c r="D63" s="40"/>
      <c r="E63" s="40"/>
      <c r="F63" s="40"/>
      <c r="G63" s="40"/>
      <c r="H63" s="40">
        <v>5000</v>
      </c>
      <c r="I63" s="40"/>
      <c r="J63" s="40"/>
      <c r="K63" s="40"/>
      <c r="L63" s="40"/>
      <c r="M63" s="40">
        <v>24112.94</v>
      </c>
      <c r="N63" s="40"/>
      <c r="O63" s="40"/>
      <c r="P63" s="40"/>
      <c r="Q63" s="40"/>
      <c r="R63" s="40">
        <v>2800.63</v>
      </c>
      <c r="S63" s="40"/>
      <c r="T63" s="40"/>
      <c r="U63" s="40"/>
      <c r="V63" s="40"/>
      <c r="W63" s="40">
        <v>11810.21</v>
      </c>
      <c r="X63" s="40"/>
      <c r="Y63" s="40"/>
      <c r="Z63" s="40"/>
    </row>
    <row r="64" spans="2:33" x14ac:dyDescent="0.35">
      <c r="B64" s="3" t="s">
        <v>192</v>
      </c>
      <c r="C64" s="40">
        <v>0</v>
      </c>
      <c r="D64" s="40"/>
      <c r="E64" s="40"/>
      <c r="F64" s="40"/>
      <c r="G64" s="40"/>
      <c r="H64" s="40">
        <v>0</v>
      </c>
      <c r="I64" s="40"/>
      <c r="J64" s="40"/>
      <c r="K64" s="40"/>
      <c r="L64" s="40"/>
      <c r="M64" s="40">
        <v>0</v>
      </c>
      <c r="N64" s="40"/>
      <c r="O64" s="40"/>
      <c r="P64" s="40"/>
      <c r="Q64" s="40"/>
      <c r="R64" s="40">
        <v>0</v>
      </c>
      <c r="S64" s="40"/>
      <c r="T64" s="40"/>
      <c r="U64" s="40"/>
      <c r="V64" s="40"/>
      <c r="W64" s="40">
        <v>-11994.82</v>
      </c>
      <c r="X64" s="40"/>
      <c r="Y64" s="40"/>
      <c r="Z64" s="40"/>
      <c r="AA64" s="28"/>
      <c r="AB64" s="28"/>
      <c r="AC64" s="28"/>
      <c r="AD64" s="28"/>
      <c r="AE64" s="28"/>
      <c r="AF64" s="28"/>
      <c r="AG64" s="28"/>
    </row>
    <row r="65" spans="2:33" x14ac:dyDescent="0.35">
      <c r="B65" t="s">
        <v>193</v>
      </c>
      <c r="C65" s="40">
        <v>-22558.95</v>
      </c>
      <c r="D65" s="40"/>
      <c r="E65" s="40"/>
      <c r="F65" s="40"/>
      <c r="G65" s="40"/>
      <c r="H65" s="40">
        <v>-20005.3</v>
      </c>
      <c r="I65" s="40"/>
      <c r="J65" s="40"/>
      <c r="K65" s="40"/>
      <c r="L65" s="40"/>
      <c r="M65" s="40">
        <v>-99.43</v>
      </c>
      <c r="N65" s="40"/>
      <c r="O65" s="40"/>
      <c r="P65" s="40"/>
      <c r="Q65" s="40"/>
      <c r="R65" s="40">
        <v>-22909.7</v>
      </c>
      <c r="S65" s="40"/>
      <c r="T65" s="40"/>
      <c r="U65" s="40"/>
      <c r="V65" s="40"/>
      <c r="W65" s="40">
        <v>0</v>
      </c>
      <c r="X65" s="40"/>
      <c r="Y65" s="40"/>
      <c r="Z65" s="40"/>
      <c r="AA65" s="28"/>
      <c r="AB65" s="28"/>
      <c r="AC65" s="28"/>
      <c r="AD65" s="28"/>
      <c r="AE65" s="28"/>
      <c r="AF65" s="28"/>
      <c r="AG65" s="28"/>
    </row>
    <row r="66" spans="2:33" s="13" customFormat="1" x14ac:dyDescent="0.35">
      <c r="B66" s="13" t="s">
        <v>194</v>
      </c>
      <c r="C66" s="40">
        <v>5003.6000000000004</v>
      </c>
      <c r="D66" s="40"/>
      <c r="E66" s="40"/>
      <c r="F66" s="40"/>
      <c r="G66" s="40"/>
      <c r="H66" s="40">
        <v>0</v>
      </c>
      <c r="I66" s="40"/>
      <c r="J66" s="40"/>
      <c r="K66" s="40"/>
      <c r="L66" s="40"/>
      <c r="M66" s="40">
        <v>-4650</v>
      </c>
      <c r="N66" s="40"/>
      <c r="O66" s="40"/>
      <c r="P66" s="40"/>
      <c r="Q66" s="40"/>
      <c r="R66" s="40">
        <v>4650</v>
      </c>
      <c r="S66" s="40"/>
      <c r="T66" s="40"/>
      <c r="U66" s="40"/>
      <c r="V66" s="40"/>
      <c r="W66" s="40">
        <v>-4.49</v>
      </c>
      <c r="X66" s="40"/>
      <c r="Y66" s="40"/>
      <c r="Z66" s="40"/>
      <c r="AA66" s="28"/>
      <c r="AB66" s="28"/>
      <c r="AC66" s="28"/>
      <c r="AD66" s="28"/>
      <c r="AE66" s="28"/>
      <c r="AF66" s="28"/>
      <c r="AG66" s="28"/>
    </row>
    <row r="67" spans="2:33" s="28" customFormat="1" x14ac:dyDescent="0.35">
      <c r="B67" s="28" t="s">
        <v>195</v>
      </c>
      <c r="C67" s="40">
        <v>-1326.8</v>
      </c>
      <c r="D67" s="40"/>
      <c r="E67" s="40"/>
      <c r="F67" s="40"/>
      <c r="G67" s="40"/>
      <c r="H67" s="40">
        <v>-446.53</v>
      </c>
      <c r="I67" s="40"/>
      <c r="J67" s="40"/>
      <c r="K67" s="40"/>
      <c r="L67" s="40"/>
      <c r="M67" s="40">
        <v>-600.30999999999995</v>
      </c>
      <c r="N67" s="40"/>
      <c r="O67" s="40"/>
      <c r="P67" s="40"/>
      <c r="Q67" s="40"/>
      <c r="R67" s="40">
        <v>-992.08</v>
      </c>
      <c r="S67" s="40"/>
      <c r="T67" s="40"/>
      <c r="U67" s="40"/>
      <c r="V67" s="40"/>
      <c r="W67" s="40">
        <v>-924.94</v>
      </c>
    </row>
    <row r="68" spans="2:33" x14ac:dyDescent="0.35">
      <c r="B68" t="s">
        <v>196</v>
      </c>
      <c r="C68" s="40">
        <v>-35561.1</v>
      </c>
      <c r="D68" s="40"/>
      <c r="E68" s="40"/>
      <c r="F68" s="40"/>
      <c r="G68" s="40"/>
      <c r="H68" s="40">
        <v>-35561.1</v>
      </c>
      <c r="I68" s="40"/>
      <c r="J68" s="40"/>
      <c r="K68" s="40"/>
      <c r="L68" s="40"/>
      <c r="M68" s="40">
        <v>-35292</v>
      </c>
      <c r="N68" s="40"/>
      <c r="O68" s="40"/>
      <c r="P68" s="40"/>
      <c r="Q68" s="40"/>
      <c r="R68" s="40">
        <v>-34920</v>
      </c>
      <c r="S68" s="40"/>
      <c r="T68" s="40"/>
      <c r="U68" s="40"/>
      <c r="V68" s="40"/>
      <c r="W68" s="40">
        <v>-34920</v>
      </c>
      <c r="AA68" s="28"/>
      <c r="AB68" s="28"/>
      <c r="AC68" s="28"/>
      <c r="AD68" s="28"/>
      <c r="AE68" s="28"/>
      <c r="AF68" s="28"/>
      <c r="AG68" s="28"/>
    </row>
    <row r="69" spans="2:33" x14ac:dyDescent="0.35">
      <c r="B69" t="s">
        <v>197</v>
      </c>
      <c r="C69" s="40">
        <v>-1908.14</v>
      </c>
      <c r="D69" s="40"/>
      <c r="E69" s="40"/>
      <c r="F69" s="40"/>
      <c r="G69" s="40"/>
      <c r="H69" s="40">
        <v>0</v>
      </c>
      <c r="I69" s="40"/>
      <c r="J69" s="40"/>
      <c r="K69" s="40"/>
      <c r="L69" s="40"/>
      <c r="M69" s="40">
        <v>0</v>
      </c>
      <c r="N69" s="40"/>
      <c r="O69" s="40"/>
      <c r="P69" s="40"/>
      <c r="Q69" s="40"/>
      <c r="R69" s="40">
        <v>0</v>
      </c>
      <c r="S69" s="40"/>
      <c r="T69" s="40"/>
      <c r="U69" s="40"/>
      <c r="V69" s="40"/>
      <c r="W69" s="40">
        <v>0</v>
      </c>
      <c r="AA69" s="28"/>
      <c r="AB69" s="28"/>
      <c r="AC69" s="28"/>
      <c r="AD69" s="28"/>
      <c r="AE69" s="28"/>
      <c r="AF69" s="28"/>
      <c r="AG69" s="28"/>
    </row>
    <row r="70" spans="2:33" x14ac:dyDescent="0.35">
      <c r="B70" t="s">
        <v>198</v>
      </c>
      <c r="C70" s="40">
        <v>-633.69000000000005</v>
      </c>
      <c r="D70" s="40"/>
      <c r="E70" s="40"/>
      <c r="F70" s="40"/>
      <c r="G70" s="40"/>
      <c r="H70" s="40">
        <v>-712.46</v>
      </c>
      <c r="I70" s="40"/>
      <c r="J70" s="40"/>
      <c r="K70" s="40"/>
      <c r="L70" s="40"/>
      <c r="M70" s="40">
        <v>-1112.57</v>
      </c>
      <c r="N70" s="40"/>
      <c r="O70" s="40"/>
      <c r="P70" s="40"/>
      <c r="Q70" s="40"/>
      <c r="R70" s="40">
        <v>-1333.24</v>
      </c>
      <c r="S70" s="40"/>
      <c r="T70" s="40"/>
      <c r="U70" s="40"/>
      <c r="V70" s="40"/>
      <c r="W70" s="40">
        <v>-1502.21</v>
      </c>
      <c r="AA70" s="28"/>
      <c r="AB70" s="28"/>
      <c r="AC70" s="28"/>
      <c r="AD70" s="28"/>
      <c r="AE70" s="28"/>
      <c r="AF70" s="28"/>
      <c r="AG70" s="28"/>
    </row>
    <row r="71" spans="2:33" x14ac:dyDescent="0.35">
      <c r="B71" t="s">
        <v>199</v>
      </c>
      <c r="C71" s="40">
        <v>0</v>
      </c>
      <c r="D71" s="40"/>
      <c r="E71" s="40"/>
      <c r="F71" s="40"/>
      <c r="G71" s="40"/>
      <c r="H71" s="40">
        <v>0</v>
      </c>
      <c r="I71" s="40"/>
      <c r="J71" s="40"/>
      <c r="K71" s="40"/>
      <c r="L71" s="40"/>
      <c r="M71" s="40">
        <v>0</v>
      </c>
      <c r="N71" s="40"/>
      <c r="O71" s="40"/>
      <c r="P71" s="40"/>
      <c r="Q71" s="40"/>
      <c r="R71" s="40">
        <v>0</v>
      </c>
      <c r="S71" s="40"/>
      <c r="T71" s="40"/>
      <c r="U71" s="40"/>
      <c r="V71" s="40"/>
      <c r="W71" s="40">
        <v>-253.79</v>
      </c>
      <c r="AA71" s="28"/>
      <c r="AB71" s="28"/>
      <c r="AC71" s="28"/>
      <c r="AD71" s="28"/>
      <c r="AE71" s="28"/>
      <c r="AF71" s="28"/>
      <c r="AG71" s="28"/>
    </row>
    <row r="72" spans="2:33" x14ac:dyDescent="0.35">
      <c r="B72" t="s">
        <v>200</v>
      </c>
      <c r="C72" s="40">
        <v>-13220.87</v>
      </c>
      <c r="D72" s="40"/>
      <c r="E72" s="40"/>
      <c r="F72" s="40"/>
      <c r="G72" s="40"/>
      <c r="H72" s="40">
        <v>19507.919999999998</v>
      </c>
      <c r="I72" s="40"/>
      <c r="J72" s="40"/>
      <c r="K72" s="40"/>
      <c r="L72" s="40"/>
      <c r="M72" s="40">
        <v>-19900</v>
      </c>
      <c r="N72" s="40"/>
      <c r="O72" s="40"/>
      <c r="P72" s="40"/>
      <c r="Q72" s="40"/>
      <c r="R72" s="40">
        <v>533.95000000000005</v>
      </c>
      <c r="S72" s="40"/>
      <c r="T72" s="40"/>
      <c r="U72" s="40"/>
      <c r="V72" s="40"/>
      <c r="W72" s="40">
        <v>-224.32</v>
      </c>
      <c r="AA72" s="28"/>
      <c r="AB72" s="28"/>
      <c r="AC72" s="28"/>
      <c r="AD72" s="28"/>
      <c r="AE72" s="28"/>
      <c r="AF72" s="28"/>
      <c r="AG72" s="28"/>
    </row>
    <row r="73" spans="2:33" x14ac:dyDescent="0.35">
      <c r="B73" s="13" t="s">
        <v>201</v>
      </c>
      <c r="C73" s="50">
        <f t="shared" ref="C73:W73" si="5">SUM(C62:C72)</f>
        <v>-68817.59</v>
      </c>
      <c r="D73" s="50">
        <f t="shared" si="5"/>
        <v>0</v>
      </c>
      <c r="E73" s="50">
        <f t="shared" si="5"/>
        <v>0</v>
      </c>
      <c r="F73" s="50">
        <f t="shared" si="5"/>
        <v>0</v>
      </c>
      <c r="G73" s="50">
        <f t="shared" si="5"/>
        <v>0</v>
      </c>
      <c r="H73" s="50">
        <f t="shared" si="5"/>
        <v>-40214.06</v>
      </c>
      <c r="I73" s="50">
        <f t="shared" si="5"/>
        <v>0</v>
      </c>
      <c r="J73" s="50">
        <f t="shared" si="5"/>
        <v>0</v>
      </c>
      <c r="K73" s="50">
        <f t="shared" si="5"/>
        <v>0</v>
      </c>
      <c r="L73" s="50">
        <f t="shared" si="5"/>
        <v>0</v>
      </c>
      <c r="M73" s="50">
        <f t="shared" si="5"/>
        <v>-60764.58</v>
      </c>
      <c r="N73" s="50">
        <f t="shared" si="5"/>
        <v>0</v>
      </c>
      <c r="O73" s="50">
        <f t="shared" si="5"/>
        <v>0</v>
      </c>
      <c r="P73" s="50">
        <f t="shared" si="5"/>
        <v>0</v>
      </c>
      <c r="Q73" s="50">
        <f t="shared" si="5"/>
        <v>0</v>
      </c>
      <c r="R73" s="50">
        <f t="shared" si="5"/>
        <v>-56296.950000000004</v>
      </c>
      <c r="S73" s="50">
        <f t="shared" si="5"/>
        <v>0</v>
      </c>
      <c r="T73" s="50">
        <f t="shared" si="5"/>
        <v>0</v>
      </c>
      <c r="U73" s="50">
        <f t="shared" si="5"/>
        <v>0</v>
      </c>
      <c r="V73" s="50">
        <f t="shared" si="5"/>
        <v>0</v>
      </c>
      <c r="W73" s="50">
        <f t="shared" si="5"/>
        <v>-49960.700000000004</v>
      </c>
      <c r="AA73" s="28"/>
      <c r="AB73" s="28"/>
      <c r="AC73" s="28"/>
      <c r="AD73" s="28"/>
      <c r="AE73" s="28"/>
      <c r="AF73" s="28"/>
      <c r="AG73" s="28"/>
    </row>
    <row r="74" spans="2:33" x14ac:dyDescent="0.35">
      <c r="B74" t="s">
        <v>202</v>
      </c>
      <c r="C74" s="40">
        <v>256.87</v>
      </c>
      <c r="D74" s="40"/>
      <c r="E74" s="40"/>
      <c r="F74" s="40"/>
      <c r="G74" s="40"/>
      <c r="H74" s="40">
        <v>88.25</v>
      </c>
      <c r="I74" s="40"/>
      <c r="J74" s="40"/>
      <c r="K74" s="40"/>
      <c r="L74" s="40"/>
      <c r="M74" s="40">
        <v>-1229.6099999999999</v>
      </c>
      <c r="N74" s="40"/>
      <c r="O74" s="40"/>
      <c r="P74" s="40"/>
      <c r="Q74" s="40"/>
      <c r="R74" s="40">
        <v>-447.13</v>
      </c>
      <c r="S74" s="40"/>
      <c r="T74" s="40"/>
      <c r="U74" s="40"/>
      <c r="V74" s="40"/>
      <c r="W74" s="40">
        <v>-444.13</v>
      </c>
      <c r="AA74" s="28"/>
      <c r="AB74" s="28"/>
      <c r="AC74" s="28"/>
      <c r="AD74" s="28"/>
      <c r="AE74" s="28"/>
      <c r="AF74" s="28"/>
      <c r="AG74" s="28"/>
    </row>
    <row r="75" spans="2:33" x14ac:dyDescent="0.35">
      <c r="B75" s="13" t="s">
        <v>203</v>
      </c>
      <c r="C75" s="50">
        <f t="shared" ref="C75:W75" si="6">C37+C57+C73+C74</f>
        <v>897.2000000000163</v>
      </c>
      <c r="D75" s="50">
        <f t="shared" si="6"/>
        <v>0</v>
      </c>
      <c r="E75" s="50">
        <f t="shared" si="6"/>
        <v>0</v>
      </c>
      <c r="F75" s="50">
        <f t="shared" si="6"/>
        <v>0</v>
      </c>
      <c r="G75" s="50">
        <f t="shared" si="6"/>
        <v>0</v>
      </c>
      <c r="H75" s="50">
        <f t="shared" si="6"/>
        <v>769.21999999998661</v>
      </c>
      <c r="I75" s="50">
        <f t="shared" si="6"/>
        <v>0</v>
      </c>
      <c r="J75" s="50">
        <f t="shared" si="6"/>
        <v>0</v>
      </c>
      <c r="K75" s="50">
        <f t="shared" si="6"/>
        <v>0</v>
      </c>
      <c r="L75" s="50">
        <f t="shared" si="6"/>
        <v>0</v>
      </c>
      <c r="M75" s="50">
        <f t="shared" si="6"/>
        <v>1610.4300000000228</v>
      </c>
      <c r="N75" s="50">
        <f t="shared" si="6"/>
        <v>0</v>
      </c>
      <c r="O75" s="50">
        <f t="shared" si="6"/>
        <v>0</v>
      </c>
      <c r="P75" s="50">
        <f t="shared" si="6"/>
        <v>0</v>
      </c>
      <c r="Q75" s="50">
        <f t="shared" si="6"/>
        <v>0</v>
      </c>
      <c r="R75" s="50">
        <f t="shared" si="6"/>
        <v>616.89000000000408</v>
      </c>
      <c r="S75" s="50">
        <f t="shared" si="6"/>
        <v>0</v>
      </c>
      <c r="T75" s="50">
        <f t="shared" si="6"/>
        <v>0</v>
      </c>
      <c r="U75" s="50">
        <f t="shared" si="6"/>
        <v>0</v>
      </c>
      <c r="V75" s="50">
        <f t="shared" si="6"/>
        <v>0</v>
      </c>
      <c r="W75" s="50">
        <f t="shared" si="6"/>
        <v>5167.1199999999926</v>
      </c>
      <c r="AA75" s="28"/>
      <c r="AB75" s="28"/>
      <c r="AC75" s="28"/>
      <c r="AD75" s="28"/>
      <c r="AE75" s="28"/>
      <c r="AF75" s="28"/>
      <c r="AG75" s="28"/>
    </row>
    <row r="76" spans="2:33" x14ac:dyDescent="0.35">
      <c r="B76" t="s">
        <v>204</v>
      </c>
      <c r="C76" s="40">
        <v>1083.94</v>
      </c>
      <c r="D76" s="40"/>
      <c r="E76" s="40"/>
      <c r="F76" s="40"/>
      <c r="G76" s="40"/>
      <c r="H76" s="40">
        <f>1981.15+6.65</f>
        <v>1987.8000000000002</v>
      </c>
      <c r="I76" s="40"/>
      <c r="J76" s="40"/>
      <c r="K76" s="40"/>
      <c r="L76" s="40"/>
      <c r="M76" s="40">
        <f>2757.29+310.69</f>
        <v>3067.98</v>
      </c>
      <c r="N76" s="40"/>
      <c r="O76" s="40"/>
      <c r="P76" s="40"/>
      <c r="Q76" s="40"/>
      <c r="R76" s="40">
        <v>4678.5</v>
      </c>
      <c r="S76" s="40"/>
      <c r="T76" s="40"/>
      <c r="U76" s="40"/>
      <c r="V76" s="40"/>
      <c r="W76" s="40">
        <v>5295.39</v>
      </c>
      <c r="AA76" s="28"/>
      <c r="AB76" s="28"/>
      <c r="AC76" s="28"/>
      <c r="AD76" s="28"/>
      <c r="AE76" s="28"/>
      <c r="AF76" s="28"/>
      <c r="AG76" s="28"/>
    </row>
    <row r="77" spans="2:33" x14ac:dyDescent="0.35">
      <c r="B77" s="13" t="s">
        <v>205</v>
      </c>
      <c r="C77" s="50">
        <f t="shared" ref="C77:W77" si="7">C75+C76</f>
        <v>1981.1400000000162</v>
      </c>
      <c r="D77" s="50">
        <f t="shared" si="7"/>
        <v>0</v>
      </c>
      <c r="E77" s="50">
        <f t="shared" si="7"/>
        <v>0</v>
      </c>
      <c r="F77" s="50">
        <f t="shared" si="7"/>
        <v>0</v>
      </c>
      <c r="G77" s="50">
        <f t="shared" si="7"/>
        <v>0</v>
      </c>
      <c r="H77" s="50">
        <f t="shared" si="7"/>
        <v>2757.0199999999868</v>
      </c>
      <c r="I77" s="50">
        <f t="shared" si="7"/>
        <v>0</v>
      </c>
      <c r="J77" s="50">
        <f t="shared" si="7"/>
        <v>0</v>
      </c>
      <c r="K77" s="50">
        <f t="shared" si="7"/>
        <v>0</v>
      </c>
      <c r="L77" s="50">
        <f t="shared" si="7"/>
        <v>0</v>
      </c>
      <c r="M77" s="50">
        <f t="shared" si="7"/>
        <v>4678.4100000000226</v>
      </c>
      <c r="N77" s="50">
        <f t="shared" si="7"/>
        <v>0</v>
      </c>
      <c r="O77" s="50">
        <f t="shared" si="7"/>
        <v>0</v>
      </c>
      <c r="P77" s="50">
        <f t="shared" si="7"/>
        <v>0</v>
      </c>
      <c r="Q77" s="50">
        <f t="shared" si="7"/>
        <v>0</v>
      </c>
      <c r="R77" s="50">
        <f t="shared" si="7"/>
        <v>5295.390000000004</v>
      </c>
      <c r="S77" s="50">
        <f t="shared" si="7"/>
        <v>0</v>
      </c>
      <c r="T77" s="50">
        <f t="shared" si="7"/>
        <v>0</v>
      </c>
      <c r="U77" s="50">
        <f t="shared" si="7"/>
        <v>0</v>
      </c>
      <c r="V77" s="50">
        <f t="shared" si="7"/>
        <v>0</v>
      </c>
      <c r="W77" s="50">
        <f t="shared" si="7"/>
        <v>10462.509999999993</v>
      </c>
      <c r="AA77" s="28"/>
      <c r="AB77" s="28"/>
      <c r="AC77" s="28"/>
      <c r="AD77" s="28"/>
      <c r="AE77" s="28"/>
      <c r="AF77" s="28"/>
      <c r="AG77" s="28"/>
    </row>
    <row r="78" spans="2:33" x14ac:dyDescent="0.35">
      <c r="B78" s="52" t="s">
        <v>84</v>
      </c>
      <c r="C78" s="53">
        <f t="shared" ref="C78:Z78" si="8">C75+C76</f>
        <v>1981.1400000000162</v>
      </c>
      <c r="D78" s="53">
        <f t="shared" si="8"/>
        <v>0</v>
      </c>
      <c r="E78" s="53">
        <f t="shared" si="8"/>
        <v>0</v>
      </c>
      <c r="F78" s="53">
        <f t="shared" si="8"/>
        <v>0</v>
      </c>
      <c r="G78" s="53">
        <f t="shared" si="8"/>
        <v>0</v>
      </c>
      <c r="H78" s="53">
        <f t="shared" si="8"/>
        <v>2757.0199999999868</v>
      </c>
      <c r="I78" s="53">
        <f t="shared" si="8"/>
        <v>0</v>
      </c>
      <c r="J78" s="53">
        <f t="shared" si="8"/>
        <v>0</v>
      </c>
      <c r="K78" s="53">
        <f t="shared" si="8"/>
        <v>0</v>
      </c>
      <c r="L78" s="53">
        <f t="shared" si="8"/>
        <v>0</v>
      </c>
      <c r="M78" s="53">
        <f t="shared" si="8"/>
        <v>4678.4100000000226</v>
      </c>
      <c r="N78" s="53">
        <f t="shared" si="8"/>
        <v>0</v>
      </c>
      <c r="O78" s="53">
        <f t="shared" si="8"/>
        <v>0</v>
      </c>
      <c r="P78" s="53">
        <f t="shared" si="8"/>
        <v>0</v>
      </c>
      <c r="Q78" s="53">
        <f t="shared" si="8"/>
        <v>0</v>
      </c>
      <c r="R78" s="53">
        <f t="shared" si="8"/>
        <v>5295.390000000004</v>
      </c>
      <c r="S78" s="53">
        <f t="shared" si="8"/>
        <v>0</v>
      </c>
      <c r="T78" s="53">
        <f t="shared" si="8"/>
        <v>0</v>
      </c>
      <c r="U78" s="53">
        <f t="shared" si="8"/>
        <v>0</v>
      </c>
      <c r="V78" s="53">
        <f t="shared" si="8"/>
        <v>0</v>
      </c>
      <c r="W78" s="53">
        <f t="shared" si="8"/>
        <v>10462.509999999993</v>
      </c>
      <c r="X78" s="53">
        <f t="shared" si="8"/>
        <v>0</v>
      </c>
      <c r="Y78" s="53">
        <f t="shared" si="8"/>
        <v>0</v>
      </c>
      <c r="Z78" s="53">
        <f t="shared" si="8"/>
        <v>0</v>
      </c>
      <c r="AA78" s="28"/>
      <c r="AB78" s="28"/>
      <c r="AC78" s="28"/>
      <c r="AD78" s="28"/>
      <c r="AE78" s="28"/>
      <c r="AF78" s="28"/>
      <c r="AG78" s="28"/>
    </row>
    <row r="79" spans="2:33" x14ac:dyDescent="0.35">
      <c r="B79" s="13" t="s">
        <v>206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AA79" s="28"/>
      <c r="AB79" s="28"/>
      <c r="AC79" s="28"/>
      <c r="AD79" s="28"/>
      <c r="AE79" s="28"/>
      <c r="AF79" s="28"/>
      <c r="AG79" s="28"/>
    </row>
    <row r="80" spans="2:33" x14ac:dyDescent="0.35">
      <c r="B80" t="s">
        <v>207</v>
      </c>
      <c r="C80" s="40">
        <v>1395.16</v>
      </c>
      <c r="D80" s="40"/>
      <c r="E80" s="40"/>
      <c r="F80" s="40"/>
      <c r="G80" s="40"/>
      <c r="H80" s="40">
        <v>2507.83</v>
      </c>
      <c r="I80" s="40"/>
      <c r="J80" s="40"/>
      <c r="K80" s="40"/>
      <c r="L80" s="40"/>
      <c r="M80" s="40">
        <v>2849.29</v>
      </c>
      <c r="N80" s="40"/>
      <c r="O80" s="40"/>
      <c r="P80" s="40"/>
      <c r="Q80" s="40"/>
      <c r="R80" s="40">
        <v>4060.39</v>
      </c>
      <c r="S80" s="40"/>
      <c r="T80" s="40"/>
      <c r="U80" s="40"/>
      <c r="V80" s="40"/>
      <c r="W80" s="40">
        <v>8288.3700000000008</v>
      </c>
      <c r="AA80" s="28"/>
      <c r="AB80" s="28"/>
      <c r="AC80" s="28"/>
      <c r="AD80" s="28"/>
      <c r="AE80" s="28"/>
      <c r="AF80" s="28"/>
      <c r="AG80" s="28"/>
    </row>
    <row r="81" spans="2:33" x14ac:dyDescent="0.35">
      <c r="B81" t="s">
        <v>208</v>
      </c>
      <c r="C81" s="40">
        <v>0</v>
      </c>
      <c r="D81" s="40"/>
      <c r="E81" s="40"/>
      <c r="F81" s="40"/>
      <c r="G81" s="40"/>
      <c r="H81" s="40">
        <v>51.62</v>
      </c>
      <c r="I81" s="40"/>
      <c r="J81" s="40"/>
      <c r="K81" s="40"/>
      <c r="L81" s="40"/>
      <c r="M81" s="40">
        <v>1766.85</v>
      </c>
      <c r="N81" s="40"/>
      <c r="O81" s="40"/>
      <c r="P81" s="40"/>
      <c r="Q81" s="40"/>
      <c r="R81" s="40">
        <v>1180.31</v>
      </c>
      <c r="S81" s="40"/>
      <c r="T81" s="40"/>
      <c r="U81" s="40"/>
      <c r="V81" s="40"/>
      <c r="W81" s="40">
        <v>2000</v>
      </c>
      <c r="AA81" s="28"/>
      <c r="AB81" s="28"/>
      <c r="AC81" s="28"/>
      <c r="AD81" s="28"/>
      <c r="AE81" s="28"/>
      <c r="AF81" s="28"/>
      <c r="AG81" s="28"/>
    </row>
    <row r="82" spans="2:33" x14ac:dyDescent="0.35">
      <c r="B82" t="s">
        <v>209</v>
      </c>
      <c r="C82" s="40">
        <v>561.21</v>
      </c>
      <c r="D82" s="40"/>
      <c r="E82" s="40"/>
      <c r="F82" s="40"/>
      <c r="G82" s="40"/>
      <c r="H82" s="40">
        <v>176.8</v>
      </c>
      <c r="I82" s="40"/>
      <c r="J82" s="40"/>
      <c r="K82" s="40"/>
      <c r="L82" s="40"/>
      <c r="M82" s="40">
        <v>0.17</v>
      </c>
      <c r="N82" s="40"/>
      <c r="O82" s="40"/>
      <c r="P82" s="40"/>
      <c r="Q82" s="40"/>
      <c r="R82" s="40">
        <v>0</v>
      </c>
      <c r="S82" s="40"/>
      <c r="T82" s="40"/>
      <c r="U82" s="40"/>
      <c r="V82" s="40"/>
      <c r="W82" s="40">
        <v>21.46</v>
      </c>
      <c r="AA82" s="28"/>
      <c r="AB82" s="28"/>
      <c r="AC82" s="28"/>
      <c r="AD82" s="28"/>
      <c r="AE82" s="28"/>
      <c r="AF82" s="28"/>
      <c r="AG82" s="28"/>
    </row>
    <row r="83" spans="2:33" x14ac:dyDescent="0.35">
      <c r="B83" t="s">
        <v>210</v>
      </c>
      <c r="C83" s="40">
        <v>0</v>
      </c>
      <c r="D83" s="40"/>
      <c r="E83" s="40"/>
      <c r="F83" s="40"/>
      <c r="G83" s="40"/>
      <c r="H83" s="40">
        <v>0</v>
      </c>
      <c r="I83" s="40"/>
      <c r="J83" s="40"/>
      <c r="K83" s="40"/>
      <c r="L83" s="40"/>
      <c r="M83" s="40">
        <v>42.26</v>
      </c>
      <c r="N83" s="40"/>
      <c r="O83" s="40"/>
      <c r="P83" s="40"/>
      <c r="Q83" s="40"/>
      <c r="R83" s="40">
        <v>29.56</v>
      </c>
      <c r="S83" s="40"/>
      <c r="T83" s="40"/>
      <c r="U83" s="40"/>
      <c r="V83" s="40"/>
      <c r="W83" s="40">
        <v>111.21</v>
      </c>
      <c r="AA83" s="28"/>
      <c r="AB83" s="28"/>
      <c r="AC83" s="28"/>
      <c r="AD83" s="28"/>
      <c r="AE83" s="28"/>
      <c r="AF83" s="28"/>
      <c r="AG83" s="28"/>
    </row>
    <row r="84" spans="2:33" x14ac:dyDescent="0.35">
      <c r="B84" t="s">
        <v>211</v>
      </c>
      <c r="C84" s="40">
        <v>24.78</v>
      </c>
      <c r="D84" s="40"/>
      <c r="E84" s="40"/>
      <c r="F84" s="40"/>
      <c r="G84" s="40"/>
      <c r="H84" s="40">
        <v>21.04</v>
      </c>
      <c r="I84" s="40"/>
      <c r="J84" s="40"/>
      <c r="K84" s="40"/>
      <c r="L84" s="40"/>
      <c r="M84" s="40">
        <v>19.93</v>
      </c>
      <c r="N84" s="40"/>
      <c r="O84" s="40"/>
      <c r="P84" s="40"/>
      <c r="Q84" s="40"/>
      <c r="R84" s="40">
        <v>25.13</v>
      </c>
      <c r="S84" s="40"/>
      <c r="T84" s="40"/>
      <c r="U84" s="40"/>
      <c r="V84" s="40"/>
      <c r="W84" s="40">
        <v>41.47</v>
      </c>
      <c r="AA84" s="28"/>
      <c r="AB84" s="28"/>
      <c r="AC84" s="28"/>
      <c r="AD84" s="28"/>
      <c r="AE84" s="28"/>
      <c r="AF84" s="28"/>
      <c r="AG84" s="28"/>
    </row>
    <row r="85" spans="2:33" x14ac:dyDescent="0.35">
      <c r="B85" s="13" t="s">
        <v>212</v>
      </c>
      <c r="C85" s="50">
        <f t="shared" ref="C85:W85" si="9">SUM(C80:C84)</f>
        <v>1981.15</v>
      </c>
      <c r="D85" s="50">
        <f t="shared" si="9"/>
        <v>0</v>
      </c>
      <c r="E85" s="50">
        <f t="shared" si="9"/>
        <v>0</v>
      </c>
      <c r="F85" s="50">
        <f t="shared" si="9"/>
        <v>0</v>
      </c>
      <c r="G85" s="50">
        <f t="shared" si="9"/>
        <v>0</v>
      </c>
      <c r="H85" s="50">
        <f t="shared" si="9"/>
        <v>2757.29</v>
      </c>
      <c r="I85" s="50">
        <f t="shared" si="9"/>
        <v>0</v>
      </c>
      <c r="J85" s="50">
        <f t="shared" si="9"/>
        <v>0</v>
      </c>
      <c r="K85" s="50">
        <f t="shared" si="9"/>
        <v>0</v>
      </c>
      <c r="L85" s="50">
        <f t="shared" si="9"/>
        <v>0</v>
      </c>
      <c r="M85" s="50">
        <f t="shared" si="9"/>
        <v>4678.5</v>
      </c>
      <c r="N85" s="50">
        <f t="shared" si="9"/>
        <v>0</v>
      </c>
      <c r="O85" s="50">
        <f t="shared" si="9"/>
        <v>0</v>
      </c>
      <c r="P85" s="50">
        <f t="shared" si="9"/>
        <v>0</v>
      </c>
      <c r="Q85" s="50">
        <f t="shared" si="9"/>
        <v>0</v>
      </c>
      <c r="R85" s="50">
        <f t="shared" si="9"/>
        <v>5295.39</v>
      </c>
      <c r="S85" s="50">
        <f t="shared" si="9"/>
        <v>0</v>
      </c>
      <c r="T85" s="50">
        <f t="shared" si="9"/>
        <v>0</v>
      </c>
      <c r="U85" s="50">
        <f t="shared" si="9"/>
        <v>0</v>
      </c>
      <c r="V85" s="50">
        <f t="shared" si="9"/>
        <v>0</v>
      </c>
      <c r="W85" s="50">
        <f t="shared" si="9"/>
        <v>10462.509999999998</v>
      </c>
      <c r="AA85" s="28"/>
      <c r="AB85" s="28"/>
      <c r="AC85" s="28"/>
      <c r="AD85" s="28"/>
      <c r="AE85" s="28"/>
      <c r="AF85" s="28"/>
      <c r="AG85" s="28"/>
    </row>
    <row r="86" spans="2:33" x14ac:dyDescent="0.35">
      <c r="B86" s="52" t="s">
        <v>84</v>
      </c>
      <c r="C86" s="53">
        <f t="shared" ref="C86:Z86" si="10">SUM(C80:C84)</f>
        <v>1981.15</v>
      </c>
      <c r="D86" s="53">
        <f t="shared" si="10"/>
        <v>0</v>
      </c>
      <c r="E86" s="53">
        <f t="shared" si="10"/>
        <v>0</v>
      </c>
      <c r="F86" s="53">
        <f t="shared" si="10"/>
        <v>0</v>
      </c>
      <c r="G86" s="53">
        <f t="shared" si="10"/>
        <v>0</v>
      </c>
      <c r="H86" s="53">
        <f t="shared" si="10"/>
        <v>2757.29</v>
      </c>
      <c r="I86" s="53">
        <f t="shared" si="10"/>
        <v>0</v>
      </c>
      <c r="J86" s="53">
        <f t="shared" si="10"/>
        <v>0</v>
      </c>
      <c r="K86" s="53">
        <f t="shared" si="10"/>
        <v>0</v>
      </c>
      <c r="L86" s="53">
        <f t="shared" si="10"/>
        <v>0</v>
      </c>
      <c r="M86" s="53">
        <f t="shared" si="10"/>
        <v>4678.5</v>
      </c>
      <c r="N86" s="53">
        <f t="shared" si="10"/>
        <v>0</v>
      </c>
      <c r="O86" s="53">
        <f t="shared" si="10"/>
        <v>0</v>
      </c>
      <c r="P86" s="53">
        <f t="shared" si="10"/>
        <v>0</v>
      </c>
      <c r="Q86" s="53">
        <f t="shared" si="10"/>
        <v>0</v>
      </c>
      <c r="R86" s="53">
        <f t="shared" si="10"/>
        <v>5295.39</v>
      </c>
      <c r="S86" s="53">
        <f t="shared" si="10"/>
        <v>0</v>
      </c>
      <c r="T86" s="53">
        <f t="shared" si="10"/>
        <v>0</v>
      </c>
      <c r="U86" s="53">
        <f t="shared" si="10"/>
        <v>0</v>
      </c>
      <c r="V86" s="53">
        <f t="shared" si="10"/>
        <v>0</v>
      </c>
      <c r="W86" s="53">
        <f t="shared" si="10"/>
        <v>10462.509999999998</v>
      </c>
      <c r="X86" s="53">
        <f t="shared" si="10"/>
        <v>0</v>
      </c>
      <c r="Y86" s="53">
        <f t="shared" si="10"/>
        <v>0</v>
      </c>
      <c r="Z86" s="53">
        <f t="shared" si="10"/>
        <v>0</v>
      </c>
      <c r="AA86" s="28"/>
      <c r="AB86" s="28"/>
      <c r="AC86" s="28"/>
      <c r="AD86" s="28"/>
      <c r="AE86" s="28"/>
      <c r="AF86" s="28"/>
      <c r="AG86" s="2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3"/>
  <sheetViews>
    <sheetView topLeftCell="E1" zoomScale="55" zoomScaleNormal="55" workbookViewId="0">
      <selection activeCell="G30" sqref="G30"/>
    </sheetView>
  </sheetViews>
  <sheetFormatPr defaultColWidth="8.6328125" defaultRowHeight="14.5" outlineLevelCol="1" x14ac:dyDescent="0.35"/>
  <cols>
    <col min="2" max="2" width="30.26953125" customWidth="1"/>
    <col min="3" max="3" width="9.81640625" customWidth="1"/>
    <col min="4" max="7" width="10.26953125" customWidth="1" outlineLevel="1"/>
    <col min="8" max="8" width="9.81640625" customWidth="1"/>
    <col min="9" max="12" width="10.26953125" customWidth="1" outlineLevel="1"/>
    <col min="13" max="13" width="9.81640625" customWidth="1"/>
    <col min="14" max="17" width="10.26953125" customWidth="1" outlineLevel="1"/>
    <col min="18" max="18" width="9.81640625" customWidth="1"/>
    <col min="19" max="22" width="10.26953125" customWidth="1" outlineLevel="1"/>
    <col min="23" max="23" width="9.81640625" customWidth="1"/>
    <col min="24" max="24" width="10.26953125" customWidth="1" outlineLevel="1"/>
    <col min="25" max="27" width="11.7265625" customWidth="1" outlineLevel="1"/>
    <col min="28" max="31" width="11.26953125" customWidth="1"/>
    <col min="32" max="32" width="9.81640625" customWidth="1"/>
  </cols>
  <sheetData>
    <row r="1" spans="2:32" x14ac:dyDescent="0.35">
      <c r="B1" s="14" t="s">
        <v>19</v>
      </c>
      <c r="C1" s="15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5" t="s">
        <v>25</v>
      </c>
      <c r="I1" s="16" t="s">
        <v>26</v>
      </c>
      <c r="J1" s="16" t="s">
        <v>27</v>
      </c>
      <c r="K1" s="16" t="s">
        <v>28</v>
      </c>
      <c r="L1" s="16" t="s">
        <v>29</v>
      </c>
      <c r="M1" s="15" t="s">
        <v>30</v>
      </c>
      <c r="N1" s="16" t="s">
        <v>31</v>
      </c>
      <c r="O1" s="16" t="s">
        <v>32</v>
      </c>
      <c r="P1" s="16" t="s">
        <v>33</v>
      </c>
      <c r="Q1" s="16" t="s">
        <v>34</v>
      </c>
      <c r="R1" s="15" t="s">
        <v>35</v>
      </c>
      <c r="S1" s="16" t="s">
        <v>36</v>
      </c>
      <c r="T1" s="16" t="s">
        <v>37</v>
      </c>
      <c r="U1" s="16" t="s">
        <v>38</v>
      </c>
      <c r="V1" s="16" t="s">
        <v>39</v>
      </c>
      <c r="W1" s="15" t="s">
        <v>40</v>
      </c>
      <c r="X1" s="17" t="s">
        <v>41</v>
      </c>
      <c r="Y1" s="14" t="s">
        <v>42</v>
      </c>
      <c r="Z1" s="14" t="s">
        <v>43</v>
      </c>
      <c r="AA1" s="14" t="s">
        <v>44</v>
      </c>
      <c r="AB1" s="14" t="s">
        <v>45</v>
      </c>
      <c r="AC1" s="14" t="s">
        <v>46</v>
      </c>
      <c r="AD1" s="14" t="s">
        <v>47</v>
      </c>
      <c r="AE1" s="14" t="s">
        <v>48</v>
      </c>
      <c r="AF1" s="14" t="s">
        <v>49</v>
      </c>
    </row>
    <row r="2" spans="2:32" s="13" customFormat="1" x14ac:dyDescent="0.35">
      <c r="B2" s="17" t="str">
        <f>'[1]Income Statement'!B6</f>
        <v>Total revenue from operations</v>
      </c>
      <c r="C2" s="56">
        <f>'Income Statement'!C5</f>
        <v>295080</v>
      </c>
      <c r="D2" s="56">
        <f>'Income Statement'!D5</f>
        <v>67167</v>
      </c>
      <c r="E2" s="56">
        <f>'Income Statement'!E5</f>
        <v>82645</v>
      </c>
      <c r="F2" s="56">
        <f>'Income Statement'!F5</f>
        <v>98848</v>
      </c>
      <c r="G2" s="56">
        <f>'Income Statement'!G5</f>
        <v>80068</v>
      </c>
      <c r="H2" s="56">
        <f>'Income Statement'!H5</f>
        <v>328728</v>
      </c>
      <c r="I2" s="56">
        <f>'Income Statement'!I5</f>
        <v>77964</v>
      </c>
      <c r="J2" s="56">
        <f>'Income Statement'!J5</f>
        <v>85574</v>
      </c>
      <c r="K2" s="56">
        <f>'Income Statement'!K5</f>
        <v>98958</v>
      </c>
      <c r="L2" s="56">
        <f>'Income Statement'!L5</f>
        <v>84970</v>
      </c>
      <c r="M2" s="56">
        <f>'Income Statement'!M5</f>
        <v>347466</v>
      </c>
      <c r="N2" s="56">
        <f>'Income Statement'!N5</f>
        <v>83394</v>
      </c>
      <c r="O2" s="56">
        <f>'Income Statement'!O5</f>
        <v>87598</v>
      </c>
      <c r="P2" s="56">
        <f>'Income Statement'!P5</f>
        <v>101303</v>
      </c>
      <c r="Q2" s="56">
        <f>'Income Statement'!Q5</f>
        <v>90194</v>
      </c>
      <c r="R2" s="56">
        <f>'Income Statement'!R5</f>
        <v>362489</v>
      </c>
      <c r="S2" s="56">
        <f>'Income Statement'!S5</f>
        <v>91653</v>
      </c>
      <c r="T2" s="56">
        <f>'Income Statement'!T5</f>
        <v>91215</v>
      </c>
      <c r="U2" s="56">
        <f>'Income Statement'!U5</f>
        <v>106441</v>
      </c>
      <c r="V2" s="56">
        <f>'Income Statement'!V5</f>
        <v>98421</v>
      </c>
      <c r="W2" s="56">
        <f>'Income Statement'!W5</f>
        <v>387730</v>
      </c>
      <c r="X2" s="56">
        <f>'Income Statement'!X5</f>
        <v>92568</v>
      </c>
      <c r="Y2" s="57">
        <f>T2*(1+Y3)</f>
        <v>96323.040000000008</v>
      </c>
      <c r="Z2" s="57">
        <f>U2*(1+Z3)</f>
        <v>112401.69600000001</v>
      </c>
      <c r="AA2" s="57">
        <f>V2*(1+AA3)</f>
        <v>103932.576</v>
      </c>
      <c r="AB2" s="57">
        <f>SUM(X2:AA2)</f>
        <v>405225.31200000003</v>
      </c>
      <c r="AC2" s="57">
        <f>AB2*(1+AC3)</f>
        <v>427917.92947200005</v>
      </c>
      <c r="AD2" s="57">
        <f>AC2*(1+AD3)</f>
        <v>451881.33352243208</v>
      </c>
      <c r="AE2" s="57">
        <f>AD2*(1+AE3)</f>
        <v>477186.68819968827</v>
      </c>
      <c r="AF2" s="57">
        <f>AE2*(1+AF3)</f>
        <v>503909.14273887087</v>
      </c>
    </row>
    <row r="3" spans="2:32" s="26" customFormat="1" x14ac:dyDescent="0.35">
      <c r="B3" s="17" t="str">
        <f>'[1]Income Statement'!B7</f>
        <v>Y0Y</v>
      </c>
      <c r="C3" s="58"/>
      <c r="D3" s="58"/>
      <c r="E3" s="58"/>
      <c r="F3" s="58"/>
      <c r="G3" s="58"/>
      <c r="H3" s="58">
        <f>'Income Statement'!H6</f>
        <v>0.11403009353395688</v>
      </c>
      <c r="I3" s="58">
        <f>I2/D2-1</f>
        <v>0.16074858189289376</v>
      </c>
      <c r="J3" s="58">
        <f>J2/E2-1</f>
        <v>3.5440740516667679E-2</v>
      </c>
      <c r="K3" s="58">
        <f>K2/F2-1</f>
        <v>1.1128196827452363E-3</v>
      </c>
      <c r="L3" s="58">
        <f>L2/G2-1</f>
        <v>6.1222960483588995E-2</v>
      </c>
      <c r="M3" s="58">
        <f>'Income Statement'!M6</f>
        <v>5.7001533182448716E-2</v>
      </c>
      <c r="N3" s="58">
        <f>N2/I2-1</f>
        <v>6.9647529629059513E-2</v>
      </c>
      <c r="O3" s="58">
        <f>O2/J2-1</f>
        <v>2.3652043845093118E-2</v>
      </c>
      <c r="P3" s="58">
        <f>P2/K2-1</f>
        <v>2.3696921926473768E-2</v>
      </c>
      <c r="Q3" s="58">
        <f>Q2/L2-1</f>
        <v>6.1480522537366022E-2</v>
      </c>
      <c r="R3" s="58">
        <f>'Income Statement'!R6</f>
        <v>4.3235884949894388E-2</v>
      </c>
      <c r="S3" s="58">
        <f>S2/N2-1</f>
        <v>9.9035901863443465E-2</v>
      </c>
      <c r="T3" s="58">
        <f>T2/O2-1</f>
        <v>4.1290897052444153E-2</v>
      </c>
      <c r="U3" s="58">
        <f>U2/P2-1</f>
        <v>5.071912973949444E-2</v>
      </c>
      <c r="V3" s="58">
        <f>V2/Q2-1</f>
        <v>9.1214493203539027E-2</v>
      </c>
      <c r="W3" s="58">
        <f>'Income Statement'!W6</f>
        <v>6.9632457812512927E-2</v>
      </c>
      <c r="X3" s="58">
        <f>X2/S2-1</f>
        <v>9.9833066020751371E-3</v>
      </c>
      <c r="Y3" s="59">
        <f>CHOOSE(Y4,Y5,Y6,Y7)</f>
        <v>5.6000000000000001E-2</v>
      </c>
      <c r="Z3" s="59">
        <f>CHOOSE($Y$4,Z5,Z6,Z7)</f>
        <v>5.6000000000000001E-2</v>
      </c>
      <c r="AA3" s="59">
        <f>CHOOSE($Y$4,AA5,AA6,AA7)</f>
        <v>5.6000000000000001E-2</v>
      </c>
      <c r="AB3" s="35">
        <f>AB2/W2-1</f>
        <v>4.5122409924432061E-2</v>
      </c>
      <c r="AC3" s="59">
        <f>CHOOSE($Y$4,AC5,AC6,AC7)</f>
        <v>5.6000000000000001E-2</v>
      </c>
      <c r="AD3" s="59">
        <f>CHOOSE($Y$4,AD5,AD6,AD7)</f>
        <v>5.6000000000000001E-2</v>
      </c>
      <c r="AE3" s="59">
        <f>CHOOSE($Y$4,AE5,AE6,AE7)</f>
        <v>5.6000000000000001E-2</v>
      </c>
      <c r="AF3" s="59">
        <f>CHOOSE($Y$4,AF5,AF6,AF7)</f>
        <v>5.6000000000000001E-2</v>
      </c>
    </row>
    <row r="4" spans="2:32" s="26" customFormat="1" x14ac:dyDescent="0.35">
      <c r="B4" s="17" t="s">
        <v>213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60">
        <v>2</v>
      </c>
      <c r="Z4" s="61"/>
      <c r="AA4" s="61"/>
      <c r="AB4" s="61"/>
      <c r="AC4" s="61"/>
      <c r="AD4" s="61"/>
      <c r="AE4" s="61"/>
      <c r="AF4" s="61"/>
    </row>
    <row r="5" spans="2:32" s="26" customFormat="1" x14ac:dyDescent="0.35">
      <c r="B5" s="17" t="s">
        <v>214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9">
        <v>2.5000000000000001E-2</v>
      </c>
      <c r="Z5" s="59">
        <v>2.5000000000000001E-2</v>
      </c>
      <c r="AA5" s="59">
        <v>2.5000000000000001E-2</v>
      </c>
      <c r="AB5" s="62"/>
      <c r="AC5" s="59">
        <v>2.5000000000000001E-2</v>
      </c>
      <c r="AD5" s="59">
        <v>2.5000000000000001E-2</v>
      </c>
      <c r="AE5" s="59">
        <v>2.5000000000000001E-2</v>
      </c>
      <c r="AF5" s="59">
        <v>2.5000000000000001E-2</v>
      </c>
    </row>
    <row r="6" spans="2:32" s="26" customFormat="1" x14ac:dyDescent="0.35">
      <c r="B6" s="17" t="s">
        <v>215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9">
        <v>5.6000000000000001E-2</v>
      </c>
      <c r="Z6" s="59">
        <v>5.6000000000000001E-2</v>
      </c>
      <c r="AA6" s="59">
        <v>5.6000000000000001E-2</v>
      </c>
      <c r="AB6" s="62"/>
      <c r="AC6" s="59">
        <v>5.6000000000000001E-2</v>
      </c>
      <c r="AD6" s="59">
        <v>5.6000000000000001E-2</v>
      </c>
      <c r="AE6" s="59">
        <v>5.6000000000000001E-2</v>
      </c>
      <c r="AF6" s="59">
        <v>5.6000000000000001E-2</v>
      </c>
    </row>
    <row r="7" spans="2:32" s="26" customFormat="1" x14ac:dyDescent="0.35">
      <c r="B7" s="17" t="s">
        <v>216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9">
        <v>9.5000000000000001E-2</v>
      </c>
      <c r="Z7" s="59">
        <v>9.5000000000000001E-2</v>
      </c>
      <c r="AA7" s="59">
        <v>9.5000000000000001E-2</v>
      </c>
      <c r="AB7" s="62"/>
      <c r="AC7" s="59">
        <v>9.5000000000000001E-2</v>
      </c>
      <c r="AD7" s="59">
        <v>9.5000000000000001E-2</v>
      </c>
      <c r="AE7" s="59">
        <v>9.5000000000000001E-2</v>
      </c>
      <c r="AF7" s="59">
        <v>9.5000000000000001E-2</v>
      </c>
    </row>
    <row r="8" spans="2:32" s="26" customFormat="1" x14ac:dyDescent="0.35">
      <c r="B8" s="17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61"/>
      <c r="Z8" s="61"/>
      <c r="AA8" s="61"/>
      <c r="AB8" s="61"/>
      <c r="AC8" s="61"/>
      <c r="AD8" s="61"/>
      <c r="AE8" s="61"/>
      <c r="AF8" s="61"/>
    </row>
    <row r="9" spans="2:32" x14ac:dyDescent="0.35">
      <c r="B9" s="3" t="str">
        <f>'[1]Income Statement'!B9</f>
        <v>Other income</v>
      </c>
      <c r="C9" s="63">
        <f>'Income Statement'!C4</f>
        <v>7027</v>
      </c>
      <c r="D9" s="63">
        <f>'Income Statement'!D4</f>
        <v>1072</v>
      </c>
      <c r="E9" s="63">
        <f>'Income Statement'!E4</f>
        <v>3761</v>
      </c>
      <c r="F9" s="63">
        <f>'Income Statement'!F4</f>
        <v>1663</v>
      </c>
      <c r="G9" s="63">
        <f>'Income Statement'!G4</f>
        <v>3029</v>
      </c>
      <c r="H9" s="63">
        <f>'Income Statement'!H4</f>
        <v>9525</v>
      </c>
      <c r="I9" s="63">
        <f>'Income Statement'!I4</f>
        <v>633</v>
      </c>
      <c r="J9" s="63">
        <f>'Income Statement'!J4</f>
        <v>4199</v>
      </c>
      <c r="K9" s="63">
        <f>'Income Statement'!K4</f>
        <v>686</v>
      </c>
      <c r="L9" s="63">
        <f>'Income Statement'!L4</f>
        <v>1375</v>
      </c>
      <c r="M9" s="63">
        <f>'Income Statement'!M4</f>
        <v>6893</v>
      </c>
      <c r="N9" s="63">
        <f>'Income Statement'!N4</f>
        <v>828</v>
      </c>
      <c r="O9" s="63">
        <f>'Income Statement'!O4</f>
        <v>1111</v>
      </c>
      <c r="P9" s="63">
        <f>'Income Statement'!P4</f>
        <v>1671</v>
      </c>
      <c r="Q9" s="63">
        <f>'Income Statement'!Q4</f>
        <v>1070</v>
      </c>
      <c r="R9" s="63">
        <f>'Income Statement'!R4</f>
        <v>4680</v>
      </c>
      <c r="S9" s="63">
        <f>'Income Statement'!S4</f>
        <v>1046</v>
      </c>
      <c r="T9" s="63">
        <f>'Income Statement'!T4</f>
        <v>2156</v>
      </c>
      <c r="U9" s="63">
        <f>'Income Statement'!U4</f>
        <v>1493</v>
      </c>
      <c r="V9" s="63">
        <f>'Income Statement'!V4</f>
        <v>2116</v>
      </c>
      <c r="W9" s="63">
        <f>'Income Statement'!W4</f>
        <v>6811</v>
      </c>
      <c r="X9" s="63">
        <f>'Income Statement'!X4</f>
        <v>2159</v>
      </c>
      <c r="Y9" s="64">
        <f>Y2*Y10</f>
        <v>1926.4608000000003</v>
      </c>
      <c r="Z9" s="64">
        <f>Z2*Z10</f>
        <v>2248.0339200000003</v>
      </c>
      <c r="AA9" s="64">
        <f>AA2*AA10</f>
        <v>2078.6515199999999</v>
      </c>
      <c r="AB9" s="64">
        <f>SUM(X9:AA9)</f>
        <v>8412.14624</v>
      </c>
      <c r="AC9" s="64">
        <f>AC2*AC10</f>
        <v>8558.3585894400003</v>
      </c>
      <c r="AD9" s="64">
        <f>AD2*AD10</f>
        <v>9037.6266704486425</v>
      </c>
      <c r="AE9" s="64">
        <f>AE2*AE10</f>
        <v>9543.733763993765</v>
      </c>
      <c r="AF9" s="64">
        <f>AF2*AF10</f>
        <v>10078.182854777418</v>
      </c>
    </row>
    <row r="10" spans="2:32" s="38" customFormat="1" x14ac:dyDescent="0.35">
      <c r="B10" s="65" t="s">
        <v>217</v>
      </c>
      <c r="C10" s="65">
        <f t="shared" ref="C10:X10" si="0">C9/C2</f>
        <v>2.3813880981428764E-2</v>
      </c>
      <c r="D10" s="65">
        <f t="shared" si="0"/>
        <v>1.5960218559709381E-2</v>
      </c>
      <c r="E10" s="65">
        <f t="shared" si="0"/>
        <v>4.5507895214471537E-2</v>
      </c>
      <c r="F10" s="65">
        <f t="shared" si="0"/>
        <v>1.6823810294593719E-2</v>
      </c>
      <c r="G10" s="65">
        <f t="shared" si="0"/>
        <v>3.7830344207423691E-2</v>
      </c>
      <c r="H10" s="65">
        <f t="shared" si="0"/>
        <v>2.8975323063444549E-2</v>
      </c>
      <c r="I10" s="65">
        <f t="shared" si="0"/>
        <v>8.1191319070340155E-3</v>
      </c>
      <c r="J10" s="65">
        <f t="shared" si="0"/>
        <v>4.9068642344637391E-2</v>
      </c>
      <c r="K10" s="65">
        <f t="shared" si="0"/>
        <v>6.9322338769983224E-3</v>
      </c>
      <c r="L10" s="65">
        <f t="shared" si="0"/>
        <v>1.6182181946569379E-2</v>
      </c>
      <c r="M10" s="65">
        <f t="shared" si="0"/>
        <v>1.9837912198603605E-2</v>
      </c>
      <c r="N10" s="65">
        <f t="shared" si="0"/>
        <v>9.9287718540902216E-3</v>
      </c>
      <c r="O10" s="65">
        <f t="shared" si="0"/>
        <v>1.2682937966620242E-2</v>
      </c>
      <c r="P10" s="65">
        <f t="shared" si="0"/>
        <v>1.6495069247702436E-2</v>
      </c>
      <c r="Q10" s="65">
        <f t="shared" si="0"/>
        <v>1.1863316850344812E-2</v>
      </c>
      <c r="R10" s="65">
        <f t="shared" si="0"/>
        <v>1.2910736601662396E-2</v>
      </c>
      <c r="S10" s="65">
        <f t="shared" si="0"/>
        <v>1.1412610607399648E-2</v>
      </c>
      <c r="T10" s="65">
        <f t="shared" si="0"/>
        <v>2.3636463300992162E-2</v>
      </c>
      <c r="U10" s="65">
        <f t="shared" si="0"/>
        <v>1.402654991967381E-2</v>
      </c>
      <c r="V10" s="65">
        <f t="shared" si="0"/>
        <v>2.1499476737688095E-2</v>
      </c>
      <c r="W10" s="65">
        <f t="shared" si="0"/>
        <v>1.756634771619426E-2</v>
      </c>
      <c r="X10" s="65">
        <f t="shared" si="0"/>
        <v>2.3323394693630629E-2</v>
      </c>
      <c r="Y10" s="59">
        <v>0.02</v>
      </c>
      <c r="Z10" s="59">
        <v>0.02</v>
      </c>
      <c r="AA10" s="59">
        <v>0.02</v>
      </c>
      <c r="AB10" s="62"/>
      <c r="AC10" s="59">
        <v>0.02</v>
      </c>
      <c r="AD10" s="59">
        <v>0.02</v>
      </c>
      <c r="AE10" s="59">
        <v>0.02</v>
      </c>
      <c r="AF10" s="59">
        <v>0.02</v>
      </c>
    </row>
    <row r="11" spans="2:32" s="13" customFormat="1" x14ac:dyDescent="0.35">
      <c r="B11" s="17" t="str">
        <f>'[1]Income Statement'!B10</f>
        <v>Total Revenue</v>
      </c>
      <c r="C11" s="56">
        <f>'Income Statement'!C5</f>
        <v>295080</v>
      </c>
      <c r="D11" s="56">
        <f>'Income Statement'!D5</f>
        <v>67167</v>
      </c>
      <c r="E11" s="56">
        <f>'Income Statement'!E5</f>
        <v>82645</v>
      </c>
      <c r="F11" s="56">
        <f>'Income Statement'!F5</f>
        <v>98848</v>
      </c>
      <c r="G11" s="56">
        <f>'Income Statement'!G5</f>
        <v>80068</v>
      </c>
      <c r="H11" s="56">
        <f>'Income Statement'!H5</f>
        <v>328728</v>
      </c>
      <c r="I11" s="56">
        <f>'Income Statement'!I5</f>
        <v>77964</v>
      </c>
      <c r="J11" s="56">
        <f>'Income Statement'!J5</f>
        <v>85574</v>
      </c>
      <c r="K11" s="56">
        <f>'Income Statement'!K5</f>
        <v>98958</v>
      </c>
      <c r="L11" s="56">
        <f>'Income Statement'!L5</f>
        <v>84970</v>
      </c>
      <c r="M11" s="56">
        <f>'Income Statement'!M5</f>
        <v>347466</v>
      </c>
      <c r="N11" s="56">
        <f>'Income Statement'!N5</f>
        <v>83394</v>
      </c>
      <c r="O11" s="56">
        <f>'Income Statement'!O5</f>
        <v>87598</v>
      </c>
      <c r="P11" s="56">
        <f>'Income Statement'!P5</f>
        <v>101303</v>
      </c>
      <c r="Q11" s="56">
        <f>'Income Statement'!Q5</f>
        <v>90194</v>
      </c>
      <c r="R11" s="56">
        <f>'Income Statement'!R5</f>
        <v>362489</v>
      </c>
      <c r="S11" s="56">
        <f>'Income Statement'!S5</f>
        <v>91653</v>
      </c>
      <c r="T11" s="56">
        <f>'Income Statement'!T5</f>
        <v>91215</v>
      </c>
      <c r="U11" s="56">
        <f>'Income Statement'!U5</f>
        <v>106441</v>
      </c>
      <c r="V11" s="56">
        <f>'Income Statement'!V5</f>
        <v>98421</v>
      </c>
      <c r="W11" s="56">
        <f>'Income Statement'!W5</f>
        <v>387730</v>
      </c>
      <c r="X11" s="56">
        <f>'Income Statement'!X5</f>
        <v>92568</v>
      </c>
      <c r="Y11" s="57">
        <f t="shared" ref="Y11:AF11" si="1">Y2+Y9</f>
        <v>98249.500800000009</v>
      </c>
      <c r="Z11" s="57">
        <f t="shared" si="1"/>
        <v>114649.72992000001</v>
      </c>
      <c r="AA11" s="57">
        <f t="shared" si="1"/>
        <v>106011.22752</v>
      </c>
      <c r="AB11" s="57">
        <f t="shared" si="1"/>
        <v>413637.45824000001</v>
      </c>
      <c r="AC11" s="57">
        <f t="shared" si="1"/>
        <v>436476.28806144005</v>
      </c>
      <c r="AD11" s="57">
        <f t="shared" si="1"/>
        <v>460918.96019288071</v>
      </c>
      <c r="AE11" s="57">
        <f t="shared" si="1"/>
        <v>486730.42196368205</v>
      </c>
      <c r="AF11" s="57">
        <f t="shared" si="1"/>
        <v>513987.3255936483</v>
      </c>
    </row>
    <row r="12" spans="2:32" s="38" customFormat="1" x14ac:dyDescent="0.35">
      <c r="B12" s="61" t="str">
        <f>'Income Statement'!B6</f>
        <v>YOY</v>
      </c>
      <c r="C12" s="61">
        <f>'Income Statement'!C6</f>
        <v>0</v>
      </c>
      <c r="D12" s="61">
        <f>'Income Statement'!D6</f>
        <v>0</v>
      </c>
      <c r="E12" s="61">
        <f>'Income Statement'!E6</f>
        <v>0</v>
      </c>
      <c r="F12" s="61">
        <f>'Income Statement'!F6</f>
        <v>0</v>
      </c>
      <c r="G12" s="61">
        <f>'Income Statement'!G6</f>
        <v>0</v>
      </c>
      <c r="H12" s="61">
        <f>'Income Statement'!H6</f>
        <v>0.11403009353395688</v>
      </c>
      <c r="I12" s="61">
        <f>'Income Statement'!I6</f>
        <v>0.16074858189289376</v>
      </c>
      <c r="J12" s="61">
        <f>'Income Statement'!J6</f>
        <v>3.5440740516667679E-2</v>
      </c>
      <c r="K12" s="61">
        <f>'Income Statement'!K6</f>
        <v>1.1128196827452363E-3</v>
      </c>
      <c r="L12" s="61">
        <f>'Income Statement'!L6</f>
        <v>6.1222960483588995E-2</v>
      </c>
      <c r="M12" s="61">
        <f>'Income Statement'!M6</f>
        <v>5.7001533182448716E-2</v>
      </c>
      <c r="N12" s="61">
        <f>'Income Statement'!N6</f>
        <v>6.9647529629059513E-2</v>
      </c>
      <c r="O12" s="61">
        <f>'Income Statement'!O6</f>
        <v>2.3652043845093118E-2</v>
      </c>
      <c r="P12" s="61">
        <f>'Income Statement'!P6</f>
        <v>2.3696921926473768E-2</v>
      </c>
      <c r="Q12" s="61">
        <f>'Income Statement'!Q6</f>
        <v>6.1480522537366022E-2</v>
      </c>
      <c r="R12" s="61">
        <f>'Income Statement'!R6</f>
        <v>4.3235884949894388E-2</v>
      </c>
      <c r="S12" s="61">
        <f>'Income Statement'!S6</f>
        <v>9.9035901863443465E-2</v>
      </c>
      <c r="T12" s="61">
        <f>'Income Statement'!T6</f>
        <v>4.1290897052444153E-2</v>
      </c>
      <c r="U12" s="61">
        <f>'Income Statement'!U6</f>
        <v>5.071912973949444E-2</v>
      </c>
      <c r="V12" s="61">
        <f>'Income Statement'!V6</f>
        <v>9.1214493203539027E-2</v>
      </c>
      <c r="W12" s="61">
        <f>'Income Statement'!W6</f>
        <v>6.9632457812512927E-2</v>
      </c>
      <c r="X12" s="61">
        <f>'Income Statement'!X6</f>
        <v>9.9833066020751371E-3</v>
      </c>
      <c r="Y12" s="61">
        <f>Y11/S11-1</f>
        <v>7.1972557363097822E-2</v>
      </c>
      <c r="Z12" s="61">
        <f>Z11/T11-1</f>
        <v>0.25691750172668981</v>
      </c>
      <c r="AA12" s="61">
        <f>AA11/U11-1</f>
        <v>-4.0376591726871691E-3</v>
      </c>
      <c r="AB12" s="61">
        <f>AB11/W11-1</f>
        <v>6.6818296856059556E-2</v>
      </c>
      <c r="AC12" s="61">
        <f>AC11/AB11-1</f>
        <v>5.5214607300358542E-2</v>
      </c>
      <c r="AD12" s="61">
        <f>AD11/AC11-1</f>
        <v>5.600000000000005E-2</v>
      </c>
      <c r="AE12" s="61">
        <f>AE11/AD11-1</f>
        <v>5.600000000000005E-2</v>
      </c>
      <c r="AF12" s="61">
        <f>AF11/AE11-1</f>
        <v>5.600000000000005E-2</v>
      </c>
    </row>
    <row r="13" spans="2:32" s="55" customFormat="1" x14ac:dyDescent="0.35">
      <c r="B13" s="66"/>
      <c r="Z13" s="6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G22"/>
  <sheetViews>
    <sheetView zoomScale="55" zoomScaleNormal="55" workbookViewId="0">
      <pane xSplit="1" topLeftCell="C1" activePane="topRight" state="frozen"/>
      <selection pane="topRight" activeCell="AE2" sqref="AE2"/>
    </sheetView>
  </sheetViews>
  <sheetFormatPr defaultColWidth="8.6328125" defaultRowHeight="14.5" outlineLevelCol="1" x14ac:dyDescent="0.35"/>
  <cols>
    <col min="2" max="2" width="28.453125" customWidth="1"/>
    <col min="4" max="7" width="9.1796875" customWidth="1" outlineLevel="1"/>
    <col min="9" max="12" width="9.1796875" customWidth="1" outlineLevel="1"/>
    <col min="14" max="17" width="9.1796875" customWidth="1" outlineLevel="1"/>
    <col min="19" max="22" width="9.1796875" customWidth="1" outlineLevel="1"/>
    <col min="24" max="27" width="9.1796875" customWidth="1" outlineLevel="1"/>
    <col min="28" max="32" width="9.36328125" customWidth="1"/>
  </cols>
  <sheetData>
    <row r="1" spans="2:33" x14ac:dyDescent="0.35">
      <c r="B1" s="14" t="s">
        <v>19</v>
      </c>
      <c r="C1" s="15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5" t="s">
        <v>25</v>
      </c>
      <c r="I1" s="16" t="s">
        <v>26</v>
      </c>
      <c r="J1" s="16" t="s">
        <v>27</v>
      </c>
      <c r="K1" s="16" t="s">
        <v>28</v>
      </c>
      <c r="L1" s="16" t="s">
        <v>29</v>
      </c>
      <c r="M1" s="15" t="s">
        <v>30</v>
      </c>
      <c r="N1" s="16" t="s">
        <v>31</v>
      </c>
      <c r="O1" s="16" t="s">
        <v>32</v>
      </c>
      <c r="P1" s="16" t="s">
        <v>33</v>
      </c>
      <c r="Q1" s="16" t="s">
        <v>34</v>
      </c>
      <c r="R1" s="15" t="s">
        <v>35</v>
      </c>
      <c r="S1" s="16" t="s">
        <v>36</v>
      </c>
      <c r="T1" s="16" t="s">
        <v>37</v>
      </c>
      <c r="U1" s="16" t="s">
        <v>38</v>
      </c>
      <c r="V1" s="16" t="s">
        <v>39</v>
      </c>
      <c r="W1" s="15" t="s">
        <v>40</v>
      </c>
      <c r="X1" s="17" t="s">
        <v>41</v>
      </c>
      <c r="Y1" s="14" t="s">
        <v>42</v>
      </c>
      <c r="Z1" s="14" t="s">
        <v>43</v>
      </c>
      <c r="AA1" s="14" t="s">
        <v>44</v>
      </c>
      <c r="AB1" s="14" t="s">
        <v>45</v>
      </c>
      <c r="AC1" s="14" t="s">
        <v>46</v>
      </c>
      <c r="AD1" s="14" t="s">
        <v>47</v>
      </c>
      <c r="AE1" s="14" t="s">
        <v>48</v>
      </c>
      <c r="AF1" s="14" t="s">
        <v>49</v>
      </c>
    </row>
    <row r="2" spans="2:33" x14ac:dyDescent="0.35">
      <c r="B2" t="str">
        <f>'[1]Income Statement'!B15</f>
        <v>Cost of materials consumed</v>
      </c>
      <c r="C2" s="68">
        <f>'Income Statement'!C10</f>
        <v>70855</v>
      </c>
      <c r="D2" s="68">
        <f>'Income Statement'!D10</f>
        <v>18394</v>
      </c>
      <c r="E2" s="68">
        <f>'Income Statement'!E10</f>
        <v>24793</v>
      </c>
      <c r="F2" s="68">
        <f>'Income Statement'!F10</f>
        <v>24356</v>
      </c>
      <c r="G2" s="68">
        <f>'Income Statement'!G10</f>
        <v>22487</v>
      </c>
      <c r="H2" s="68">
        <f>'Income Statement'!H10</f>
        <v>90030</v>
      </c>
      <c r="I2" s="68">
        <f>'Income Statement'!I10</f>
        <v>16342</v>
      </c>
      <c r="J2" s="68">
        <f>'Income Statement'!J10</f>
        <v>24765</v>
      </c>
      <c r="K2" s="68">
        <f>'Income Statement'!K10</f>
        <v>23419</v>
      </c>
      <c r="L2" s="68">
        <f>'Income Statement'!L10</f>
        <v>18446</v>
      </c>
      <c r="M2" s="68">
        <f>'Income Statement'!M10</f>
        <v>82474</v>
      </c>
      <c r="N2" s="68">
        <f>'Income Statement'!N10</f>
        <v>16395</v>
      </c>
      <c r="O2" s="68">
        <f>'Income Statement'!O10</f>
        <v>21471</v>
      </c>
      <c r="P2" s="68">
        <f>'Income Statement'!P10</f>
        <v>20292</v>
      </c>
      <c r="Q2" s="68">
        <f>'Income Statement'!Q10</f>
        <v>18726</v>
      </c>
      <c r="R2" s="68">
        <f>'Income Statement'!R10</f>
        <v>76884</v>
      </c>
      <c r="S2" s="68">
        <f>'Income Statement'!S10</f>
        <v>13994</v>
      </c>
      <c r="T2" s="68">
        <f>'Income Statement'!T10</f>
        <v>20737</v>
      </c>
      <c r="U2" s="68">
        <f>'Income Statement'!U10</f>
        <v>21468</v>
      </c>
      <c r="V2" s="68">
        <f>'Income Statement'!V10</f>
        <v>16214</v>
      </c>
      <c r="W2" s="68">
        <f>'Income Statement'!W10</f>
        <v>72413</v>
      </c>
      <c r="X2" s="68">
        <f>'Income Statement'!X10</f>
        <v>16356</v>
      </c>
      <c r="Y2" s="69">
        <f>Y3*Y9</f>
        <v>18294.057048960003</v>
      </c>
      <c r="Z2" s="69">
        <f>Z3*Z9</f>
        <v>21347.779711104002</v>
      </c>
      <c r="AA2" s="69">
        <f>AA3*AA9</f>
        <v>19739.290564224</v>
      </c>
      <c r="AB2" s="70">
        <f>X2+Y2+Z2+AA2</f>
        <v>75737.127324288012</v>
      </c>
      <c r="AC2" s="69">
        <f>AC3*AC9</f>
        <v>81271.884837040139</v>
      </c>
      <c r="AD2" s="69">
        <f>AD3*AD9</f>
        <v>85823.110387914392</v>
      </c>
      <c r="AE2" s="69">
        <f>AE3*AE9</f>
        <v>90629.204569637601</v>
      </c>
      <c r="AF2" s="69">
        <f>AF3*AF9</f>
        <v>95704.440025537318</v>
      </c>
      <c r="AG2" s="68"/>
    </row>
    <row r="3" spans="2:33" s="26" customFormat="1" x14ac:dyDescent="0.35">
      <c r="B3" s="26" t="s">
        <v>218</v>
      </c>
      <c r="C3" s="26">
        <f t="shared" ref="C3:X3" si="0">C2/C9</f>
        <v>0.51071451739622453</v>
      </c>
      <c r="D3" s="26">
        <f t="shared" si="0"/>
        <v>0.54992824683090169</v>
      </c>
      <c r="E3" s="26">
        <f t="shared" si="0"/>
        <v>0.70494739835086717</v>
      </c>
      <c r="F3" s="26">
        <f t="shared" si="0"/>
        <v>0.51249894790000838</v>
      </c>
      <c r="G3" s="26">
        <f t="shared" si="0"/>
        <v>0.51181263656227238</v>
      </c>
      <c r="H3" s="26">
        <f t="shared" si="0"/>
        <v>0.56241332350479145</v>
      </c>
      <c r="I3" s="26">
        <f t="shared" si="0"/>
        <v>0.38238528675386668</v>
      </c>
      <c r="J3" s="26">
        <f t="shared" si="0"/>
        <v>0.59956421740709354</v>
      </c>
      <c r="K3" s="26">
        <f t="shared" si="0"/>
        <v>0.47912191329609854</v>
      </c>
      <c r="L3" s="26">
        <f t="shared" si="0"/>
        <v>0.42130507274512941</v>
      </c>
      <c r="M3" s="26">
        <f t="shared" si="0"/>
        <v>0.46805443628480303</v>
      </c>
      <c r="N3" s="26">
        <f t="shared" si="0"/>
        <v>0.37477712247976958</v>
      </c>
      <c r="O3" s="26">
        <f t="shared" si="0"/>
        <v>0.51974050495025537</v>
      </c>
      <c r="P3" s="26">
        <f t="shared" si="0"/>
        <v>0.42546232230469244</v>
      </c>
      <c r="Q3" s="26">
        <f t="shared" si="0"/>
        <v>0.38599167250690525</v>
      </c>
      <c r="R3" s="26">
        <f t="shared" si="0"/>
        <v>0.42413142535609077</v>
      </c>
      <c r="S3" s="26">
        <f t="shared" si="0"/>
        <v>0.29358452565770149</v>
      </c>
      <c r="T3" s="26">
        <f t="shared" si="0"/>
        <v>0.50983429217682052</v>
      </c>
      <c r="U3" s="26">
        <f t="shared" si="0"/>
        <v>0.44033310087377447</v>
      </c>
      <c r="V3" s="26">
        <f t="shared" si="0"/>
        <v>0.3134290850747134</v>
      </c>
      <c r="W3" s="26">
        <f t="shared" si="0"/>
        <v>0.38349265192638687</v>
      </c>
      <c r="X3" s="26">
        <f t="shared" si="0"/>
        <v>0.35851910304465051</v>
      </c>
      <c r="Y3" s="71">
        <v>0.38</v>
      </c>
      <c r="Z3" s="71">
        <v>0.38</v>
      </c>
      <c r="AA3" s="71">
        <v>0.38</v>
      </c>
      <c r="AB3" s="72"/>
      <c r="AC3" s="71">
        <v>0.38</v>
      </c>
      <c r="AD3" s="71">
        <v>0.38</v>
      </c>
      <c r="AE3" s="71">
        <v>0.38</v>
      </c>
      <c r="AF3" s="71">
        <v>0.38</v>
      </c>
    </row>
    <row r="4" spans="2:33" x14ac:dyDescent="0.35">
      <c r="B4" t="str">
        <f>'[1]Income Statement'!B16</f>
        <v>Purchase of stock-in-trade</v>
      </c>
      <c r="C4" s="68">
        <f>'Income Statement'!C11</f>
        <v>24009</v>
      </c>
      <c r="D4" s="68">
        <f>'Income Statement'!D11</f>
        <v>4331</v>
      </c>
      <c r="E4" s="68">
        <f>'Income Statement'!E11</f>
        <v>2754</v>
      </c>
      <c r="F4" s="68">
        <f>'Income Statement'!F11</f>
        <v>4800</v>
      </c>
      <c r="G4" s="68">
        <f>'Income Statement'!G11</f>
        <v>10462</v>
      </c>
      <c r="H4" s="68">
        <f>'Income Statement'!H11</f>
        <v>22347</v>
      </c>
      <c r="I4" s="68">
        <f>'Income Statement'!I11</f>
        <v>6585</v>
      </c>
      <c r="J4" s="68">
        <f>'Income Statement'!J11</f>
        <v>7536</v>
      </c>
      <c r="K4" s="68">
        <f>'Income Statement'!K11</f>
        <v>6208</v>
      </c>
      <c r="L4" s="68">
        <f>'Income Statement'!L11</f>
        <v>13640</v>
      </c>
      <c r="M4" s="68">
        <f>'Income Statement'!M11</f>
        <v>33969</v>
      </c>
      <c r="N4" s="68">
        <f>'Income Statement'!N11</f>
        <v>9852</v>
      </c>
      <c r="O4" s="68">
        <f>'Income Statement'!O11</f>
        <v>9053</v>
      </c>
      <c r="P4" s="68">
        <f>'Income Statement'!P11</f>
        <v>8994</v>
      </c>
      <c r="Q4" s="68">
        <f>'Income Statement'!Q11</f>
        <v>12824</v>
      </c>
      <c r="R4" s="68">
        <f>'Income Statement'!R11</f>
        <v>40723</v>
      </c>
      <c r="S4" s="68">
        <f>'Income Statement'!S11</f>
        <v>11388</v>
      </c>
      <c r="T4" s="68">
        <f>'Income Statement'!T11</f>
        <v>9938</v>
      </c>
      <c r="U4" s="68">
        <f>'Income Statement'!U11</f>
        <v>8682</v>
      </c>
      <c r="V4" s="68">
        <f>'Income Statement'!V11</f>
        <v>14824</v>
      </c>
      <c r="W4" s="68">
        <f>'Income Statement'!W11</f>
        <v>44832</v>
      </c>
      <c r="X4" s="68">
        <f>'Income Statement'!X11</f>
        <v>10857</v>
      </c>
      <c r="Y4" s="69">
        <f>Y5*Y9</f>
        <v>9628.4510784000013</v>
      </c>
      <c r="Z4" s="69">
        <f>Z5*Z9</f>
        <v>11235.673532160001</v>
      </c>
      <c r="AA4" s="69">
        <f>AA5*AA9</f>
        <v>10389.100296960001</v>
      </c>
      <c r="AB4" s="70">
        <f>X4+Y4+Z4+AA4</f>
        <v>42110.224907520002</v>
      </c>
      <c r="AC4" s="69">
        <f>AC5*AC9</f>
        <v>42774.676230021127</v>
      </c>
      <c r="AD4" s="69">
        <f>AD5*AD9</f>
        <v>45170.058098902315</v>
      </c>
      <c r="AE4" s="69">
        <f>AE5*AE9</f>
        <v>47699.581352440844</v>
      </c>
      <c r="AF4" s="69">
        <f>AF5*AF9</f>
        <v>50370.757908177533</v>
      </c>
      <c r="AG4" s="68"/>
    </row>
    <row r="5" spans="2:33" s="38" customFormat="1" x14ac:dyDescent="0.35">
      <c r="B5" s="26" t="s">
        <v>218</v>
      </c>
      <c r="C5" s="26">
        <f t="shared" ref="C5:X5" si="1">C4/C9</f>
        <v>0.17305405191117004</v>
      </c>
      <c r="D5" s="26">
        <f t="shared" si="1"/>
        <v>0.12948457306864386</v>
      </c>
      <c r="E5" s="26">
        <f t="shared" si="1"/>
        <v>7.8305373898208699E-2</v>
      </c>
      <c r="F5" s="26">
        <f t="shared" si="1"/>
        <v>0.1010015991919872</v>
      </c>
      <c r="G5" s="26">
        <f t="shared" si="1"/>
        <v>0.23811908230152951</v>
      </c>
      <c r="H5" s="26">
        <f t="shared" si="1"/>
        <v>0.13960069466135258</v>
      </c>
      <c r="I5" s="26">
        <f t="shared" si="1"/>
        <v>0.15408194304700845</v>
      </c>
      <c r="J5" s="26">
        <f t="shared" si="1"/>
        <v>0.18244764556349111</v>
      </c>
      <c r="K5" s="26">
        <f t="shared" si="1"/>
        <v>0.1270075083369136</v>
      </c>
      <c r="L5" s="26">
        <f t="shared" si="1"/>
        <v>0.31153644108443918</v>
      </c>
      <c r="M5" s="26">
        <f t="shared" si="1"/>
        <v>0.19278004154228573</v>
      </c>
      <c r="N5" s="26">
        <f t="shared" si="1"/>
        <v>0.22520916198052393</v>
      </c>
      <c r="O5" s="26">
        <f t="shared" si="1"/>
        <v>0.21914260124422066</v>
      </c>
      <c r="P5" s="26">
        <f t="shared" si="1"/>
        <v>0.18857717951943639</v>
      </c>
      <c r="Q5" s="26">
        <f t="shared" si="1"/>
        <v>0.2643360679391516</v>
      </c>
      <c r="R5" s="26">
        <f t="shared" si="1"/>
        <v>0.2246488740801218</v>
      </c>
      <c r="S5" s="26">
        <f t="shared" si="1"/>
        <v>0.23891243234171108</v>
      </c>
      <c r="T5" s="26">
        <f t="shared" si="1"/>
        <v>0.24433298913310714</v>
      </c>
      <c r="U5" s="26">
        <f t="shared" si="1"/>
        <v>0.17807769618903063</v>
      </c>
      <c r="V5" s="26">
        <f t="shared" si="1"/>
        <v>0.28655931646401578</v>
      </c>
      <c r="W5" s="26">
        <f t="shared" si="1"/>
        <v>0.23742618826956177</v>
      </c>
      <c r="X5" s="26">
        <f t="shared" si="1"/>
        <v>0.23798250805550075</v>
      </c>
      <c r="Y5" s="71">
        <v>0.2</v>
      </c>
      <c r="Z5" s="71">
        <v>0.2</v>
      </c>
      <c r="AA5" s="71">
        <v>0.2</v>
      </c>
      <c r="AB5" s="72"/>
      <c r="AC5" s="71">
        <v>0.2</v>
      </c>
      <c r="AD5" s="71">
        <v>0.2</v>
      </c>
      <c r="AE5" s="71">
        <v>0.2</v>
      </c>
      <c r="AF5" s="71">
        <v>0.2</v>
      </c>
    </row>
    <row r="6" spans="2:33" x14ac:dyDescent="0.35">
      <c r="B6" t="str">
        <f>'Income Statement'!B12</f>
        <v>(Increase)/Decrease in Inventories of Finished Goods, Stock in Trade and Work-in-Progress</v>
      </c>
      <c r="C6" s="68">
        <f>'Income Statement'!C12</f>
        <v>-1940</v>
      </c>
      <c r="D6" s="68">
        <f>'Income Statement'!D12</f>
        <v>-263</v>
      </c>
      <c r="E6" s="68">
        <f>'Income Statement'!E12</f>
        <v>-2909</v>
      </c>
      <c r="F6" s="68">
        <f>'Income Statement'!F12</f>
        <v>2543</v>
      </c>
      <c r="G6" s="68">
        <f>'Income Statement'!G12</f>
        <v>-3960</v>
      </c>
      <c r="H6" s="68">
        <f>'Income Statement'!H12</f>
        <v>-4589</v>
      </c>
      <c r="I6" s="68">
        <f>'Income Statement'!I12</f>
        <v>6180</v>
      </c>
      <c r="J6" s="68">
        <f>'Income Statement'!J12</f>
        <v>-5144</v>
      </c>
      <c r="K6" s="68">
        <f>'Income Statement'!K12</f>
        <v>3926</v>
      </c>
      <c r="L6" s="68">
        <f>'Income Statement'!L12</f>
        <v>-1269</v>
      </c>
      <c r="M6" s="68">
        <f>'Income Statement'!M12</f>
        <v>3693</v>
      </c>
      <c r="N6" s="68">
        <f>'Income Statement'!N12</f>
        <v>2312</v>
      </c>
      <c r="O6" s="68">
        <f>'Income Statement'!O12</f>
        <v>-4654</v>
      </c>
      <c r="P6" s="68">
        <f>'Income Statement'!P12</f>
        <v>1835</v>
      </c>
      <c r="Q6" s="68">
        <f>'Income Statement'!Q12</f>
        <v>-1055</v>
      </c>
      <c r="R6" s="68">
        <f>'Income Statement'!R12</f>
        <v>-1553</v>
      </c>
      <c r="S6" s="68">
        <f>'Income Statement'!S12</f>
        <v>3915</v>
      </c>
      <c r="T6" s="68">
        <f>'Income Statement'!T12</f>
        <v>-4573</v>
      </c>
      <c r="U6" s="68">
        <f>'Income Statement'!U12</f>
        <v>1031</v>
      </c>
      <c r="V6" s="68">
        <f>'Income Statement'!V12</f>
        <v>1805</v>
      </c>
      <c r="W6" s="68">
        <f>'Income Statement'!W12</f>
        <v>2178</v>
      </c>
      <c r="X6" s="68">
        <f>'Income Statement'!X12</f>
        <v>433</v>
      </c>
      <c r="Y6" s="69">
        <f>Y9-Y4-Y2</f>
        <v>20219.747264640002</v>
      </c>
      <c r="Z6" s="69">
        <f>Z9-Z4-Z2</f>
        <v>23594.914417536002</v>
      </c>
      <c r="AA6" s="69">
        <f>AA9-AA4-AA2</f>
        <v>21817.110623615998</v>
      </c>
      <c r="AB6" s="70">
        <f>X6+Y6+Z6+AA6</f>
        <v>66064.772305791994</v>
      </c>
      <c r="AC6" s="69">
        <f>AC9-AC4-AC2</f>
        <v>89826.820083044367</v>
      </c>
      <c r="AD6" s="69">
        <f>AD9-AD4-AD2</f>
        <v>94857.122007694838</v>
      </c>
      <c r="AE6" s="69">
        <f>AE9-AE4-AE2</f>
        <v>100169.12084012575</v>
      </c>
      <c r="AF6" s="69">
        <f>AF9-AF4-AF2</f>
        <v>105778.59160717281</v>
      </c>
      <c r="AG6" s="68"/>
    </row>
    <row r="7" spans="2:33" x14ac:dyDescent="0.35">
      <c r="B7" t="str">
        <f>'Income Statement'!B13</f>
        <v>advertisment and sale</v>
      </c>
      <c r="C7" s="68">
        <f>'Income Statement'!C13</f>
        <v>45813</v>
      </c>
      <c r="D7" s="68">
        <f>'Income Statement'!D13</f>
        <v>10986</v>
      </c>
      <c r="E7" s="68">
        <f>'Income Statement'!E13</f>
        <v>10532</v>
      </c>
      <c r="F7" s="68">
        <f>'Income Statement'!F13</f>
        <v>15825</v>
      </c>
      <c r="G7" s="68">
        <f>'Income Statement'!G13</f>
        <v>14947</v>
      </c>
      <c r="H7" s="68">
        <f>'Income Statement'!H13</f>
        <v>52290</v>
      </c>
      <c r="I7" s="68">
        <f>'Income Statement'!I13</f>
        <v>13630</v>
      </c>
      <c r="J7" s="68">
        <f>'Income Statement'!J13</f>
        <v>14148</v>
      </c>
      <c r="K7" s="68">
        <f>'Income Statement'!K13</f>
        <v>15326</v>
      </c>
      <c r="L7" s="68">
        <f>'Income Statement'!L13</f>
        <v>12966</v>
      </c>
      <c r="M7" s="68">
        <f>'Income Statement'!M13</f>
        <v>56070</v>
      </c>
      <c r="N7" s="68">
        <f>'Income Statement'!N13</f>
        <v>15187</v>
      </c>
      <c r="O7" s="68">
        <f>'Income Statement'!O13</f>
        <v>15441</v>
      </c>
      <c r="P7" s="68">
        <f>'Income Statement'!P13</f>
        <v>16573</v>
      </c>
      <c r="Q7" s="68">
        <f>'Income Statement'!Q13</f>
        <v>18019</v>
      </c>
      <c r="R7" s="68">
        <f>'Income Statement'!R13</f>
        <v>65220</v>
      </c>
      <c r="S7" s="68">
        <f>'Income Statement'!S13</f>
        <v>18369</v>
      </c>
      <c r="T7" s="68">
        <f>'Income Statement'!T13</f>
        <v>14572</v>
      </c>
      <c r="U7" s="68">
        <f>'Income Statement'!U13</f>
        <v>17573</v>
      </c>
      <c r="V7" s="68">
        <f>'Income Statement'!V13</f>
        <v>18888</v>
      </c>
      <c r="W7" s="68">
        <f>'Income Statement'!W13</f>
        <v>69402</v>
      </c>
      <c r="X7" s="68">
        <f>'Income Statement'!X13</f>
        <v>17975</v>
      </c>
      <c r="Y7" s="69">
        <f>Y8*Y9</f>
        <v>16368.366833280003</v>
      </c>
      <c r="Z7" s="69">
        <f>Z8*Z9</f>
        <v>19100.645004672002</v>
      </c>
      <c r="AA7" s="69">
        <f>AA8*AA9</f>
        <v>17661.470504831999</v>
      </c>
      <c r="AB7" s="70">
        <f>X7+Y7+Z7+AA7</f>
        <v>71105.482342784002</v>
      </c>
      <c r="AC7" s="69">
        <f>AC8*AC9</f>
        <v>72716.949591035911</v>
      </c>
      <c r="AD7" s="69">
        <f>AD8*AD9</f>
        <v>76789.098768133932</v>
      </c>
      <c r="AE7" s="69">
        <f>AE8*AE9</f>
        <v>81089.288299149426</v>
      </c>
      <c r="AF7" s="69">
        <f>AF8*AF9</f>
        <v>85630.288443901809</v>
      </c>
      <c r="AG7" s="68"/>
    </row>
    <row r="8" spans="2:33" x14ac:dyDescent="0.35">
      <c r="B8" s="26" t="s">
        <v>218</v>
      </c>
      <c r="C8" s="73">
        <f t="shared" ref="C8:X8" si="2">C7/C9</f>
        <v>0.33021472282087694</v>
      </c>
      <c r="D8" s="73">
        <f t="shared" si="2"/>
        <v>0.32845013154747665</v>
      </c>
      <c r="E8" s="73">
        <f t="shared" si="2"/>
        <v>0.29945976684674436</v>
      </c>
      <c r="F8" s="73">
        <f t="shared" si="2"/>
        <v>0.33298964733608283</v>
      </c>
      <c r="G8" s="73">
        <f t="shared" si="2"/>
        <v>0.34019938091769847</v>
      </c>
      <c r="H8" s="73">
        <f t="shared" si="2"/>
        <v>0.32665325653743799</v>
      </c>
      <c r="I8" s="73">
        <f t="shared" si="2"/>
        <v>0.31892739312539486</v>
      </c>
      <c r="J8" s="73">
        <f t="shared" si="2"/>
        <v>0.34252511802445224</v>
      </c>
      <c r="K8" s="73">
        <f t="shared" si="2"/>
        <v>0.31354978620675544</v>
      </c>
      <c r="L8" s="73">
        <f t="shared" si="2"/>
        <v>0.29614233835050136</v>
      </c>
      <c r="M8" s="73">
        <f t="shared" si="2"/>
        <v>0.31820709850969886</v>
      </c>
      <c r="N8" s="73">
        <f t="shared" si="2"/>
        <v>0.3471631692040415</v>
      </c>
      <c r="O8" s="73">
        <f t="shared" si="2"/>
        <v>0.3737745394689066</v>
      </c>
      <c r="P8" s="73">
        <f t="shared" si="2"/>
        <v>0.34748605694636642</v>
      </c>
      <c r="Q8" s="73">
        <f t="shared" si="2"/>
        <v>0.37141855959104586</v>
      </c>
      <c r="R8" s="73">
        <f t="shared" si="2"/>
        <v>0.35978684201816036</v>
      </c>
      <c r="S8" s="73">
        <f t="shared" si="2"/>
        <v>0.38536902614022572</v>
      </c>
      <c r="T8" s="73">
        <f t="shared" si="2"/>
        <v>0.35826326400157349</v>
      </c>
      <c r="U8" s="73">
        <f t="shared" si="2"/>
        <v>0.36044222012552818</v>
      </c>
      <c r="V8" s="73">
        <f t="shared" si="2"/>
        <v>0.36511956080493319</v>
      </c>
      <c r="W8" s="73">
        <f t="shared" si="2"/>
        <v>0.36754667019727261</v>
      </c>
      <c r="X8" s="73">
        <f t="shared" si="2"/>
        <v>0.39400714583196333</v>
      </c>
      <c r="Y8" s="71">
        <v>0.34</v>
      </c>
      <c r="Z8" s="71">
        <v>0.34</v>
      </c>
      <c r="AA8" s="71">
        <v>0.34</v>
      </c>
      <c r="AB8" s="72"/>
      <c r="AC8" s="71">
        <v>0.34</v>
      </c>
      <c r="AD8" s="71">
        <v>0.34</v>
      </c>
      <c r="AE8" s="71">
        <v>0.34</v>
      </c>
      <c r="AF8" s="71">
        <v>0.34</v>
      </c>
      <c r="AG8" s="68"/>
    </row>
    <row r="9" spans="2:33" s="13" customFormat="1" x14ac:dyDescent="0.35">
      <c r="B9" s="13" t="str">
        <f>'[1]Income Statement'!B18</f>
        <v>COGS</v>
      </c>
      <c r="C9" s="74">
        <f>'Income Statement'!C14</f>
        <v>138737</v>
      </c>
      <c r="D9" s="74">
        <f>'Income Statement'!D14</f>
        <v>33448</v>
      </c>
      <c r="E9" s="74">
        <f>'Income Statement'!E14</f>
        <v>35170</v>
      </c>
      <c r="F9" s="74">
        <f>'Income Statement'!F14</f>
        <v>47524</v>
      </c>
      <c r="G9" s="74">
        <f>'Income Statement'!G14</f>
        <v>43936</v>
      </c>
      <c r="H9" s="74">
        <f>'Income Statement'!H14</f>
        <v>160078</v>
      </c>
      <c r="I9" s="74">
        <f>'Income Statement'!I14</f>
        <v>42737</v>
      </c>
      <c r="J9" s="74">
        <f>'Income Statement'!J14</f>
        <v>41305</v>
      </c>
      <c r="K9" s="74">
        <f>'Income Statement'!K14</f>
        <v>48879</v>
      </c>
      <c r="L9" s="74">
        <f>'Income Statement'!L14</f>
        <v>43783</v>
      </c>
      <c r="M9" s="74">
        <f>'Income Statement'!M14</f>
        <v>176206</v>
      </c>
      <c r="N9" s="74">
        <f>'Income Statement'!N14</f>
        <v>43746</v>
      </c>
      <c r="O9" s="74">
        <f>'Income Statement'!O14</f>
        <v>41311</v>
      </c>
      <c r="P9" s="74">
        <f>'Income Statement'!P14</f>
        <v>47694</v>
      </c>
      <c r="Q9" s="74">
        <f>'Income Statement'!Q14</f>
        <v>48514</v>
      </c>
      <c r="R9" s="74">
        <f>'Income Statement'!R14</f>
        <v>181274</v>
      </c>
      <c r="S9" s="74">
        <f>'Income Statement'!S14</f>
        <v>47666</v>
      </c>
      <c r="T9" s="74">
        <f>'Income Statement'!T14</f>
        <v>40674</v>
      </c>
      <c r="U9" s="74">
        <f>'Income Statement'!U14</f>
        <v>48754</v>
      </c>
      <c r="V9" s="74">
        <f>'Income Statement'!V14</f>
        <v>51731</v>
      </c>
      <c r="W9" s="74">
        <f>'Income Statement'!W14</f>
        <v>188825</v>
      </c>
      <c r="X9" s="74">
        <f>'Income Statement'!X14</f>
        <v>45621</v>
      </c>
      <c r="Y9" s="75">
        <f>Y10*Y17</f>
        <v>48142.255392000006</v>
      </c>
      <c r="Z9" s="75">
        <f>Z10*Z17</f>
        <v>56178.367660800002</v>
      </c>
      <c r="AA9" s="75">
        <f>AA10*AA17</f>
        <v>51945.501484799999</v>
      </c>
      <c r="AB9" s="70">
        <f>X9+Y9+Z9+AA9</f>
        <v>201887.12453760003</v>
      </c>
      <c r="AC9" s="75">
        <f>AC10*AC17</f>
        <v>213873.38115010562</v>
      </c>
      <c r="AD9" s="75">
        <f>AD10*AD17</f>
        <v>225850.29049451154</v>
      </c>
      <c r="AE9" s="75">
        <f>AE10*AE17</f>
        <v>238497.90676220419</v>
      </c>
      <c r="AF9" s="75">
        <f>AF10*AF17</f>
        <v>251853.78954088766</v>
      </c>
      <c r="AG9" s="74"/>
    </row>
    <row r="10" spans="2:33" s="25" customFormat="1" x14ac:dyDescent="0.35">
      <c r="B10" s="25" t="s">
        <v>306</v>
      </c>
      <c r="C10" s="25">
        <f t="shared" ref="C10:X10" si="3">C9/C17</f>
        <v>0.4701674122271926</v>
      </c>
      <c r="D10" s="25">
        <f t="shared" si="3"/>
        <v>0.4979826402846636</v>
      </c>
      <c r="E10" s="25">
        <f t="shared" si="3"/>
        <v>0.42555508500211747</v>
      </c>
      <c r="F10" s="25">
        <f t="shared" si="3"/>
        <v>0.48077856911621886</v>
      </c>
      <c r="G10" s="25">
        <f t="shared" si="3"/>
        <v>0.54873357646000898</v>
      </c>
      <c r="H10" s="25">
        <f t="shared" si="3"/>
        <v>0.486961865128617</v>
      </c>
      <c r="I10" s="25">
        <f t="shared" si="3"/>
        <v>0.54816325483556516</v>
      </c>
      <c r="J10" s="25">
        <f t="shared" si="3"/>
        <v>0.48268165564306914</v>
      </c>
      <c r="K10" s="25">
        <f t="shared" si="3"/>
        <v>0.49393682168192565</v>
      </c>
      <c r="L10" s="25">
        <f t="shared" si="3"/>
        <v>0.51527597975756145</v>
      </c>
      <c r="M10" s="25">
        <f t="shared" si="3"/>
        <v>0.50711724312594608</v>
      </c>
      <c r="N10" s="25">
        <f t="shared" si="3"/>
        <v>0.52457011295776679</v>
      </c>
      <c r="O10" s="25">
        <f t="shared" si="3"/>
        <v>0.47159752505764974</v>
      </c>
      <c r="P10" s="25">
        <f t="shared" si="3"/>
        <v>0.47080540556548178</v>
      </c>
      <c r="Q10" s="25">
        <f t="shared" si="3"/>
        <v>0.53788500343703571</v>
      </c>
      <c r="R10" s="25">
        <f t="shared" si="3"/>
        <v>0.50008138177986095</v>
      </c>
      <c r="S10" s="25">
        <f t="shared" si="3"/>
        <v>0.52007026502133047</v>
      </c>
      <c r="T10" s="25">
        <f t="shared" si="3"/>
        <v>0.44591350106890315</v>
      </c>
      <c r="U10" s="25">
        <f t="shared" si="3"/>
        <v>0.45803778619141122</v>
      </c>
      <c r="V10" s="25">
        <f t="shared" si="3"/>
        <v>0.52560937198362134</v>
      </c>
      <c r="W10" s="25">
        <f t="shared" si="3"/>
        <v>0.48700126376602276</v>
      </c>
      <c r="X10" s="25">
        <f t="shared" si="3"/>
        <v>0.49283769769250713</v>
      </c>
      <c r="Y10" s="71">
        <v>0.49</v>
      </c>
      <c r="Z10" s="71">
        <v>0.49</v>
      </c>
      <c r="AA10" s="71">
        <v>0.49</v>
      </c>
      <c r="AB10" s="72"/>
      <c r="AC10" s="71">
        <v>0.49</v>
      </c>
      <c r="AD10" s="71">
        <v>0.49</v>
      </c>
      <c r="AE10" s="71">
        <v>0.49</v>
      </c>
      <c r="AF10" s="71">
        <v>0.49</v>
      </c>
    </row>
    <row r="11" spans="2:33" x14ac:dyDescent="0.35">
      <c r="B11" t="str">
        <f>'[1]Income Statement'!B22</f>
        <v>Employee benefits expense</v>
      </c>
      <c r="C11" s="68">
        <f>'Income Statement'!C18</f>
        <v>30917</v>
      </c>
      <c r="D11" s="68">
        <f>'Income Statement'!D18</f>
        <v>8450</v>
      </c>
      <c r="E11" s="68">
        <f>'Income Statement'!E18</f>
        <v>8207</v>
      </c>
      <c r="F11" s="68">
        <f>'Income Statement'!F18</f>
        <v>7235</v>
      </c>
      <c r="G11" s="68">
        <f>'Income Statement'!G18</f>
        <v>7885</v>
      </c>
      <c r="H11" s="68">
        <f>'Income Statement'!H18</f>
        <v>31777</v>
      </c>
      <c r="I11" s="68">
        <f>'Income Statement'!I18</f>
        <v>8879</v>
      </c>
      <c r="J11" s="68">
        <f>'Income Statement'!J18</f>
        <v>9347</v>
      </c>
      <c r="K11" s="68">
        <f>'Income Statement'!K18</f>
        <v>9343</v>
      </c>
      <c r="L11" s="68">
        <f>'Income Statement'!L18</f>
        <v>9207</v>
      </c>
      <c r="M11" s="68">
        <f>'Income Statement'!M18</f>
        <v>36776</v>
      </c>
      <c r="N11" s="68">
        <f>'Income Statement'!N18</f>
        <v>10141</v>
      </c>
      <c r="O11" s="68">
        <f>'Income Statement'!O18</f>
        <v>10166</v>
      </c>
      <c r="P11" s="68">
        <f>'Income Statement'!P18</f>
        <v>10208</v>
      </c>
      <c r="Q11" s="68">
        <f>'Income Statement'!Q18</f>
        <v>9049</v>
      </c>
      <c r="R11" s="68">
        <f>'Income Statement'!R18</f>
        <v>39564</v>
      </c>
      <c r="S11" s="68">
        <f>'Income Statement'!S18</f>
        <v>11106</v>
      </c>
      <c r="T11" s="68">
        <f>'Income Statement'!T18</f>
        <v>11287</v>
      </c>
      <c r="U11" s="68">
        <f>'Income Statement'!U18</f>
        <v>11246</v>
      </c>
      <c r="V11" s="68">
        <f>'Income Statement'!V18</f>
        <v>11063</v>
      </c>
      <c r="W11" s="68">
        <f>'Income Statement'!W18</f>
        <v>44702</v>
      </c>
      <c r="X11" s="68">
        <f>'Income Statement'!X18</f>
        <v>11946</v>
      </c>
      <c r="Y11" s="69">
        <f>Y12*Y15</f>
        <v>10807.445088</v>
      </c>
      <c r="Z11" s="69">
        <f>Z12*Z15</f>
        <v>12611.470291200001</v>
      </c>
      <c r="AA11" s="69">
        <f>AA12*AA15</f>
        <v>11661.2350272</v>
      </c>
      <c r="AB11" s="70">
        <f>X11+Y11+Z11+AA11</f>
        <v>47026.150406400004</v>
      </c>
      <c r="AC11" s="69">
        <f>AC12*AC15</f>
        <v>48012.391686758405</v>
      </c>
      <c r="AD11" s="69">
        <f>AD12*AD15</f>
        <v>50701.08562121688</v>
      </c>
      <c r="AE11" s="69">
        <f>AE12*AE15</f>
        <v>53540.346416005028</v>
      </c>
      <c r="AF11" s="69">
        <f>AF12*AF15</f>
        <v>56538.605815301315</v>
      </c>
      <c r="AG11" s="68"/>
    </row>
    <row r="12" spans="2:33" s="45" customFormat="1" x14ac:dyDescent="0.35">
      <c r="B12" s="45" t="s">
        <v>219</v>
      </c>
      <c r="C12" s="25">
        <f t="shared" ref="C12:X12" si="4">C11/C15</f>
        <v>0.50674468538460282</v>
      </c>
      <c r="D12" s="25">
        <f t="shared" si="4"/>
        <v>0.53904057157438123</v>
      </c>
      <c r="E12" s="25">
        <f t="shared" si="4"/>
        <v>0.51306576644161039</v>
      </c>
      <c r="F12" s="25">
        <f t="shared" si="4"/>
        <v>0.46656348745727738</v>
      </c>
      <c r="G12" s="25">
        <f t="shared" si="4"/>
        <v>0.47190137051888204</v>
      </c>
      <c r="H12" s="25">
        <f t="shared" si="4"/>
        <v>0.49738605058852992</v>
      </c>
      <c r="I12" s="25">
        <f t="shared" si="4"/>
        <v>0.49994369369369368</v>
      </c>
      <c r="J12" s="25">
        <f t="shared" si="4"/>
        <v>0.45524060003896355</v>
      </c>
      <c r="K12" s="25">
        <f t="shared" si="4"/>
        <v>0.46789863782051283</v>
      </c>
      <c r="L12" s="25">
        <f t="shared" si="4"/>
        <v>0.4642731077605769</v>
      </c>
      <c r="M12" s="25">
        <f t="shared" si="4"/>
        <v>0.47093775210971817</v>
      </c>
      <c r="N12" s="25">
        <f t="shared" si="4"/>
        <v>0.5116807104293859</v>
      </c>
      <c r="O12" s="25">
        <f t="shared" si="4"/>
        <v>0.46633027522935777</v>
      </c>
      <c r="P12" s="25">
        <f t="shared" si="4"/>
        <v>0.49914429612243899</v>
      </c>
      <c r="Q12" s="25">
        <f t="shared" si="4"/>
        <v>0.46376588765887661</v>
      </c>
      <c r="R12" s="25">
        <f t="shared" si="4"/>
        <v>0.48495991762888874</v>
      </c>
      <c r="S12" s="25">
        <f t="shared" si="4"/>
        <v>0.52165335838421789</v>
      </c>
      <c r="T12" s="25">
        <f t="shared" si="4"/>
        <v>0.48363184505955953</v>
      </c>
      <c r="U12" s="25">
        <f t="shared" si="4"/>
        <v>0.50374020156774912</v>
      </c>
      <c r="V12" s="25">
        <f t="shared" si="4"/>
        <v>0.48886433937251433</v>
      </c>
      <c r="W12" s="25">
        <f t="shared" si="4"/>
        <v>0.49900092651507538</v>
      </c>
      <c r="X12" s="25">
        <f t="shared" si="4"/>
        <v>0.51125567063254296</v>
      </c>
      <c r="Y12" s="71">
        <v>0.5</v>
      </c>
      <c r="Z12" s="71">
        <v>0.5</v>
      </c>
      <c r="AA12" s="71">
        <v>0.5</v>
      </c>
      <c r="AB12" s="72"/>
      <c r="AC12" s="71">
        <v>0.5</v>
      </c>
      <c r="AD12" s="71">
        <v>0.5</v>
      </c>
      <c r="AE12" s="71">
        <v>0.5</v>
      </c>
      <c r="AF12" s="71">
        <v>0.5</v>
      </c>
      <c r="AG12" s="25"/>
    </row>
    <row r="13" spans="2:33" x14ac:dyDescent="0.35">
      <c r="B13" t="str">
        <f>'[1]Income Statement'!B24</f>
        <v>Other expenses</v>
      </c>
      <c r="C13" s="68">
        <f>'Income Statement'!C19</f>
        <v>30094</v>
      </c>
      <c r="D13" s="68">
        <f>'Income Statement'!D19</f>
        <v>7226</v>
      </c>
      <c r="E13" s="68">
        <f>'Income Statement'!E19</f>
        <v>7789</v>
      </c>
      <c r="F13" s="68">
        <f>'Income Statement'!F19</f>
        <v>8272</v>
      </c>
      <c r="G13" s="68">
        <f>'Income Statement'!G19</f>
        <v>8824</v>
      </c>
      <c r="H13" s="68">
        <f>'Income Statement'!H19</f>
        <v>32111</v>
      </c>
      <c r="I13" s="68">
        <f>'Income Statement'!I19</f>
        <v>8881</v>
      </c>
      <c r="J13" s="68">
        <f>'Income Statement'!J19</f>
        <v>11185</v>
      </c>
      <c r="K13" s="68">
        <f>'Income Statement'!K19</f>
        <v>10625</v>
      </c>
      <c r="L13" s="68">
        <f>'Income Statement'!L19</f>
        <v>10624</v>
      </c>
      <c r="M13" s="68">
        <f>'Income Statement'!M19</f>
        <v>41315</v>
      </c>
      <c r="N13" s="68">
        <f>'Income Statement'!N19</f>
        <v>9678</v>
      </c>
      <c r="O13" s="68">
        <f>'Income Statement'!O19</f>
        <v>11634</v>
      </c>
      <c r="P13" s="68">
        <f>'Income Statement'!P19</f>
        <v>10243</v>
      </c>
      <c r="Q13" s="68">
        <f>'Income Statement'!Q19</f>
        <v>10463</v>
      </c>
      <c r="R13" s="68">
        <f>'Income Statement'!R19</f>
        <v>42018</v>
      </c>
      <c r="S13" s="68">
        <f>'Income Statement'!S19</f>
        <v>10184</v>
      </c>
      <c r="T13" s="68">
        <f>'Income Statement'!T19</f>
        <v>12051</v>
      </c>
      <c r="U13" s="68">
        <f>'Income Statement'!U19</f>
        <v>11079</v>
      </c>
      <c r="V13" s="68">
        <f>'Income Statement'!V19</f>
        <v>11567</v>
      </c>
      <c r="W13" s="68">
        <f>'Income Statement'!W19</f>
        <v>44881</v>
      </c>
      <c r="X13" s="68">
        <f>'Income Statement'!X19</f>
        <v>11420</v>
      </c>
      <c r="Y13" s="69">
        <f>Y14*Y15</f>
        <v>10375.147284479999</v>
      </c>
      <c r="Z13" s="69">
        <f>Z14*Z15</f>
        <v>12107.011479552</v>
      </c>
      <c r="AA13" s="69">
        <f>AA14*AA15</f>
        <v>11194.785626112</v>
      </c>
      <c r="AB13" s="70">
        <f>X13+Y13+Z13+AA13</f>
        <v>45096.944390143995</v>
      </c>
      <c r="AC13" s="69">
        <f>AC14*AC15</f>
        <v>46091.89601928807</v>
      </c>
      <c r="AD13" s="69">
        <f>AD14*AD15</f>
        <v>48673.042196368202</v>
      </c>
      <c r="AE13" s="69">
        <f>AE14*AE15</f>
        <v>51398.732559364827</v>
      </c>
      <c r="AF13" s="69">
        <f>AF14*AF15</f>
        <v>54277.061582689261</v>
      </c>
      <c r="AG13" s="68"/>
    </row>
    <row r="14" spans="2:33" s="45" customFormat="1" x14ac:dyDescent="0.35">
      <c r="B14" s="45" t="s">
        <v>219</v>
      </c>
      <c r="C14" s="25">
        <f t="shared" ref="C14:X14" si="5">C13/C15</f>
        <v>0.49325531461539723</v>
      </c>
      <c r="D14" s="25">
        <f t="shared" si="5"/>
        <v>0.46095942842561877</v>
      </c>
      <c r="E14" s="25">
        <f t="shared" si="5"/>
        <v>0.48693423355838961</v>
      </c>
      <c r="F14" s="25">
        <f t="shared" si="5"/>
        <v>0.53343651254272262</v>
      </c>
      <c r="G14" s="25">
        <f t="shared" si="5"/>
        <v>0.52809862948111796</v>
      </c>
      <c r="H14" s="25">
        <f t="shared" si="5"/>
        <v>0.50261394941147008</v>
      </c>
      <c r="I14" s="25">
        <f t="shared" si="5"/>
        <v>0.50005630630630626</v>
      </c>
      <c r="J14" s="25">
        <f t="shared" si="5"/>
        <v>0.54475939996103639</v>
      </c>
      <c r="K14" s="25">
        <f t="shared" si="5"/>
        <v>0.53210136217948723</v>
      </c>
      <c r="L14" s="25">
        <f t="shared" si="5"/>
        <v>0.53572689223942316</v>
      </c>
      <c r="M14" s="25">
        <f t="shared" si="5"/>
        <v>0.52906224789028189</v>
      </c>
      <c r="N14" s="25">
        <f t="shared" si="5"/>
        <v>0.48831928957061405</v>
      </c>
      <c r="O14" s="25">
        <f t="shared" si="5"/>
        <v>0.53366972477064223</v>
      </c>
      <c r="P14" s="25">
        <f t="shared" si="5"/>
        <v>0.50085570387756095</v>
      </c>
      <c r="Q14" s="25">
        <f t="shared" si="5"/>
        <v>0.53623411234112339</v>
      </c>
      <c r="R14" s="25">
        <f t="shared" si="5"/>
        <v>0.51504008237111132</v>
      </c>
      <c r="S14" s="25">
        <f t="shared" si="5"/>
        <v>0.47834664161578205</v>
      </c>
      <c r="T14" s="25">
        <f t="shared" si="5"/>
        <v>0.51636815494044053</v>
      </c>
      <c r="U14" s="25">
        <f t="shared" si="5"/>
        <v>0.49625979843225082</v>
      </c>
      <c r="V14" s="25">
        <f t="shared" si="5"/>
        <v>0.51113566062748561</v>
      </c>
      <c r="W14" s="25">
        <f t="shared" si="5"/>
        <v>0.50099907348492456</v>
      </c>
      <c r="X14" s="25">
        <f t="shared" si="5"/>
        <v>0.48874432936745699</v>
      </c>
      <c r="Y14" s="71">
        <v>0.48</v>
      </c>
      <c r="Z14" s="71">
        <v>0.48</v>
      </c>
      <c r="AA14" s="71">
        <v>0.48</v>
      </c>
      <c r="AB14" s="72"/>
      <c r="AC14" s="71">
        <v>0.48</v>
      </c>
      <c r="AD14" s="71">
        <v>0.48</v>
      </c>
      <c r="AE14" s="71">
        <v>0.48</v>
      </c>
      <c r="AF14" s="71">
        <v>0.48</v>
      </c>
      <c r="AG14" s="25"/>
    </row>
    <row r="15" spans="2:33" s="13" customFormat="1" x14ac:dyDescent="0.35">
      <c r="B15" s="13" t="str">
        <f>'Income Statement'!B20</f>
        <v>Operating Expenses</v>
      </c>
      <c r="C15" s="74">
        <f>'Income Statement'!C20</f>
        <v>61011</v>
      </c>
      <c r="D15" s="74">
        <f>'Income Statement'!D20</f>
        <v>15676</v>
      </c>
      <c r="E15" s="74">
        <f>'Income Statement'!E20</f>
        <v>15996</v>
      </c>
      <c r="F15" s="74">
        <f>'Income Statement'!F20</f>
        <v>15507</v>
      </c>
      <c r="G15" s="74">
        <f>'Income Statement'!G20</f>
        <v>16709</v>
      </c>
      <c r="H15" s="74">
        <f>'Income Statement'!H20</f>
        <v>63888</v>
      </c>
      <c r="I15" s="74">
        <f>'Income Statement'!I20</f>
        <v>17760</v>
      </c>
      <c r="J15" s="74">
        <f>'Income Statement'!J20</f>
        <v>20532</v>
      </c>
      <c r="K15" s="74">
        <f>'Income Statement'!K20</f>
        <v>19968</v>
      </c>
      <c r="L15" s="74">
        <f>'Income Statement'!L20</f>
        <v>19831</v>
      </c>
      <c r="M15" s="74">
        <f>'Income Statement'!M20</f>
        <v>78091</v>
      </c>
      <c r="N15" s="74">
        <f>'Income Statement'!N20</f>
        <v>19819</v>
      </c>
      <c r="O15" s="74">
        <f>'Income Statement'!O20</f>
        <v>21800</v>
      </c>
      <c r="P15" s="74">
        <f>'Income Statement'!P20</f>
        <v>20451</v>
      </c>
      <c r="Q15" s="74">
        <f>'Income Statement'!Q20</f>
        <v>19512</v>
      </c>
      <c r="R15" s="74">
        <f>'Income Statement'!R20</f>
        <v>81582</v>
      </c>
      <c r="S15" s="74">
        <f>'Income Statement'!S20</f>
        <v>21290</v>
      </c>
      <c r="T15" s="74">
        <f>'Income Statement'!T20</f>
        <v>23338</v>
      </c>
      <c r="U15" s="74">
        <f>'Income Statement'!U20</f>
        <v>22325</v>
      </c>
      <c r="V15" s="74">
        <f>'Income Statement'!V20</f>
        <v>22630</v>
      </c>
      <c r="W15" s="74">
        <f>'Income Statement'!W20</f>
        <v>89583</v>
      </c>
      <c r="X15" s="74">
        <f>'Income Statement'!X20</f>
        <v>23366</v>
      </c>
      <c r="Y15" s="76">
        <f>Y16*Y17</f>
        <v>21614.890176000001</v>
      </c>
      <c r="Z15" s="76">
        <f>Z16*Z17</f>
        <v>25222.940582400002</v>
      </c>
      <c r="AA15" s="76">
        <f>AA16*AA17</f>
        <v>23322.470054400001</v>
      </c>
      <c r="AB15" s="87">
        <f>X15+Y15+Z15+AA15</f>
        <v>93526.300812800007</v>
      </c>
      <c r="AC15" s="76">
        <f>AC16*AC17</f>
        <v>96024.78337351681</v>
      </c>
      <c r="AD15" s="76">
        <f>AD16*AD17</f>
        <v>101402.17124243376</v>
      </c>
      <c r="AE15" s="76">
        <f>AE16*AE17</f>
        <v>107080.69283201006</v>
      </c>
      <c r="AF15" s="76">
        <f>AF16*AF17</f>
        <v>113077.21163060263</v>
      </c>
      <c r="AG15" s="74"/>
    </row>
    <row r="16" spans="2:33" s="25" customFormat="1" x14ac:dyDescent="0.35">
      <c r="B16" s="25" t="s">
        <v>220</v>
      </c>
      <c r="C16" s="25">
        <f t="shared" ref="C16:X16" si="6">C15/C17</f>
        <v>0.20676087840585605</v>
      </c>
      <c r="D16" s="25">
        <f t="shared" si="6"/>
        <v>0.23338841990858605</v>
      </c>
      <c r="E16" s="25">
        <f t="shared" si="6"/>
        <v>0.19355072902171941</v>
      </c>
      <c r="F16" s="25">
        <f t="shared" si="6"/>
        <v>0.15687722563936549</v>
      </c>
      <c r="G16" s="25">
        <f t="shared" si="6"/>
        <v>0.2086851176499975</v>
      </c>
      <c r="H16" s="25">
        <f t="shared" si="6"/>
        <v>0.194349127546178</v>
      </c>
      <c r="I16" s="25">
        <f t="shared" si="6"/>
        <v>0.22779744497460366</v>
      </c>
      <c r="J16" s="25">
        <f t="shared" si="6"/>
        <v>0.23993268983569777</v>
      </c>
      <c r="K16" s="25">
        <f t="shared" si="6"/>
        <v>0.20178257442551387</v>
      </c>
      <c r="L16" s="25">
        <f t="shared" si="6"/>
        <v>0.23338825467812169</v>
      </c>
      <c r="M16" s="25">
        <f t="shared" si="6"/>
        <v>0.22474429152780415</v>
      </c>
      <c r="N16" s="25">
        <f t="shared" si="6"/>
        <v>0.23765498716934072</v>
      </c>
      <c r="O16" s="25">
        <f t="shared" si="6"/>
        <v>0.24886412931802096</v>
      </c>
      <c r="P16" s="25">
        <f t="shared" si="6"/>
        <v>0.20187950998489679</v>
      </c>
      <c r="Q16" s="25">
        <f t="shared" si="6"/>
        <v>0.21633368073264297</v>
      </c>
      <c r="R16" s="25">
        <f t="shared" si="6"/>
        <v>0.22506062252923537</v>
      </c>
      <c r="S16" s="25">
        <f t="shared" si="6"/>
        <v>0.23228917765921464</v>
      </c>
      <c r="T16" s="25">
        <f t="shared" si="6"/>
        <v>0.2558570410568437</v>
      </c>
      <c r="U16" s="25">
        <f t="shared" si="6"/>
        <v>0.20974060747268439</v>
      </c>
      <c r="V16" s="25">
        <f t="shared" si="6"/>
        <v>0.22993060424096484</v>
      </c>
      <c r="W16" s="25">
        <f t="shared" si="6"/>
        <v>0.23104479921594925</v>
      </c>
      <c r="X16" s="25">
        <f t="shared" si="6"/>
        <v>0.25241984271022383</v>
      </c>
      <c r="Y16" s="71">
        <v>0.22</v>
      </c>
      <c r="Z16" s="71">
        <v>0.22</v>
      </c>
      <c r="AA16" s="71">
        <v>0.22</v>
      </c>
      <c r="AB16" s="72"/>
      <c r="AC16" s="71">
        <v>0.22</v>
      </c>
      <c r="AD16" s="71">
        <v>0.22</v>
      </c>
      <c r="AE16" s="71">
        <v>0.22</v>
      </c>
      <c r="AF16" s="71">
        <v>0.22</v>
      </c>
    </row>
    <row r="17" spans="2:33" s="13" customFormat="1" x14ac:dyDescent="0.35">
      <c r="B17" s="13" t="str">
        <f>'[1]Income Statement'!B6</f>
        <v>Total revenue from operations</v>
      </c>
      <c r="C17" s="74">
        <f>'Income Statement'!C5</f>
        <v>295080</v>
      </c>
      <c r="D17" s="74">
        <f>'Income Statement'!D5</f>
        <v>67167</v>
      </c>
      <c r="E17" s="74">
        <f>'Income Statement'!E5</f>
        <v>82645</v>
      </c>
      <c r="F17" s="74">
        <f>'Income Statement'!F5</f>
        <v>98848</v>
      </c>
      <c r="G17" s="74">
        <f>'Income Statement'!G5</f>
        <v>80068</v>
      </c>
      <c r="H17" s="74">
        <f>'Income Statement'!H5</f>
        <v>328728</v>
      </c>
      <c r="I17" s="74">
        <f>'Income Statement'!I5</f>
        <v>77964</v>
      </c>
      <c r="J17" s="74">
        <f>'Income Statement'!J5</f>
        <v>85574</v>
      </c>
      <c r="K17" s="74">
        <f>'Income Statement'!K5</f>
        <v>98958</v>
      </c>
      <c r="L17" s="74">
        <f>'Income Statement'!L5</f>
        <v>84970</v>
      </c>
      <c r="M17" s="74">
        <f>'Income Statement'!M5</f>
        <v>347466</v>
      </c>
      <c r="N17" s="74">
        <f>'Income Statement'!N5</f>
        <v>83394</v>
      </c>
      <c r="O17" s="74">
        <f>'Income Statement'!O5</f>
        <v>87598</v>
      </c>
      <c r="P17" s="74">
        <f>'Income Statement'!P5</f>
        <v>101303</v>
      </c>
      <c r="Q17" s="74">
        <f>'Income Statement'!Q5</f>
        <v>90194</v>
      </c>
      <c r="R17" s="74">
        <f>'Income Statement'!R5</f>
        <v>362489</v>
      </c>
      <c r="S17" s="74">
        <f>'Income Statement'!S5</f>
        <v>91653</v>
      </c>
      <c r="T17" s="74">
        <f>'Income Statement'!T5</f>
        <v>91215</v>
      </c>
      <c r="U17" s="74">
        <f>'Income Statement'!U5</f>
        <v>106441</v>
      </c>
      <c r="V17" s="74">
        <f>'Income Statement'!V5</f>
        <v>98421</v>
      </c>
      <c r="W17" s="74">
        <f>'Income Statement'!W5</f>
        <v>387730</v>
      </c>
      <c r="X17" s="74">
        <f>'Income Statement'!X5</f>
        <v>92568</v>
      </c>
      <c r="Y17" s="76">
        <f>'Income Statement'!Y5</f>
        <v>98249.500800000009</v>
      </c>
      <c r="Z17" s="76">
        <f>'Income Statement'!Z5</f>
        <v>114649.72992000001</v>
      </c>
      <c r="AA17" s="76">
        <f>'Income Statement'!AA5</f>
        <v>106011.22752</v>
      </c>
      <c r="AB17" s="87">
        <f>X17+Y17+Z17+AA17</f>
        <v>411478.45824000001</v>
      </c>
      <c r="AC17" s="76">
        <f>'Income Statement'!AC5</f>
        <v>436476.28806144005</v>
      </c>
      <c r="AD17" s="76">
        <f>'Income Statement'!AD5</f>
        <v>460918.96019288071</v>
      </c>
      <c r="AE17" s="76">
        <f>'Income Statement'!AE5</f>
        <v>486730.42196368205</v>
      </c>
      <c r="AF17" s="76">
        <f>'Income Statement'!AF5</f>
        <v>513987.3255936483</v>
      </c>
      <c r="AG17" s="74"/>
    </row>
    <row r="18" spans="2:33" x14ac:dyDescent="0.35">
      <c r="Y18" s="77"/>
    </row>
    <row r="19" spans="2:33" x14ac:dyDescent="0.35">
      <c r="W19" s="77"/>
    </row>
    <row r="21" spans="2:33" x14ac:dyDescent="0.35">
      <c r="V21" s="77"/>
      <c r="Y21" s="77"/>
    </row>
    <row r="22" spans="2:33" x14ac:dyDescent="0.35">
      <c r="R22" s="7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G27"/>
  <sheetViews>
    <sheetView zoomScale="83" zoomScaleNormal="70" workbookViewId="0">
      <pane xSplit="1" topLeftCell="B1" activePane="topRight" state="frozen"/>
      <selection pane="topRight" activeCell="AB16" sqref="AB16"/>
    </sheetView>
  </sheetViews>
  <sheetFormatPr defaultColWidth="8.6328125" defaultRowHeight="14.5" outlineLevelRow="1" outlineLevelCol="1" x14ac:dyDescent="0.35"/>
  <cols>
    <col min="2" max="2" width="42.7265625" customWidth="1"/>
    <col min="3" max="3" width="10.453125" customWidth="1"/>
    <col min="4" max="7" width="10.90625" hidden="1" customWidth="1" outlineLevel="1"/>
    <col min="8" max="8" width="10.453125" customWidth="1" collapsed="1"/>
    <col min="9" max="12" width="10.90625" hidden="1" customWidth="1" outlineLevel="1"/>
    <col min="13" max="13" width="10.453125" customWidth="1" collapsed="1"/>
    <col min="14" max="17" width="10.90625" hidden="1" customWidth="1" outlineLevel="1"/>
    <col min="18" max="18" width="10.453125" customWidth="1" collapsed="1"/>
    <col min="19" max="22" width="10.90625" hidden="1" customWidth="1" outlineLevel="1"/>
    <col min="23" max="23" width="10.453125" customWidth="1" collapsed="1"/>
    <col min="24" max="24" width="10.90625" hidden="1" customWidth="1" outlineLevel="1"/>
    <col min="25" max="27" width="12.7265625" hidden="1" customWidth="1" outlineLevel="1"/>
    <col min="28" max="28" width="11.81640625" customWidth="1" collapsed="1"/>
    <col min="29" max="31" width="11.81640625" customWidth="1"/>
    <col min="32" max="32" width="10.453125" customWidth="1"/>
  </cols>
  <sheetData>
    <row r="1" spans="2:33" x14ac:dyDescent="0.35">
      <c r="B1" s="14" t="s">
        <v>19</v>
      </c>
      <c r="C1" s="15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5" t="s">
        <v>25</v>
      </c>
      <c r="I1" s="16" t="s">
        <v>26</v>
      </c>
      <c r="J1" s="16" t="s">
        <v>27</v>
      </c>
      <c r="K1" s="16" t="s">
        <v>28</v>
      </c>
      <c r="L1" s="16" t="s">
        <v>29</v>
      </c>
      <c r="M1" s="15" t="s">
        <v>30</v>
      </c>
      <c r="N1" s="16" t="s">
        <v>31</v>
      </c>
      <c r="O1" s="16" t="s">
        <v>32</v>
      </c>
      <c r="P1" s="16" t="s">
        <v>33</v>
      </c>
      <c r="Q1" s="16" t="s">
        <v>34</v>
      </c>
      <c r="R1" s="15" t="s">
        <v>35</v>
      </c>
      <c r="S1" s="16" t="s">
        <v>36</v>
      </c>
      <c r="T1" s="16" t="s">
        <v>37</v>
      </c>
      <c r="U1" s="16" t="s">
        <v>38</v>
      </c>
      <c r="V1" s="16" t="s">
        <v>39</v>
      </c>
      <c r="W1" s="15" t="s">
        <v>40</v>
      </c>
      <c r="X1" s="17" t="s">
        <v>41</v>
      </c>
      <c r="Y1" s="14" t="s">
        <v>42</v>
      </c>
      <c r="Z1" s="14" t="s">
        <v>43</v>
      </c>
      <c r="AA1" s="14" t="s">
        <v>44</v>
      </c>
      <c r="AB1" s="14" t="s">
        <v>45</v>
      </c>
      <c r="AC1" s="14" t="s">
        <v>46</v>
      </c>
      <c r="AD1" s="14" t="s">
        <v>47</v>
      </c>
      <c r="AE1" s="14" t="s">
        <v>48</v>
      </c>
      <c r="AF1" s="14" t="s">
        <v>49</v>
      </c>
    </row>
    <row r="2" spans="2:33" x14ac:dyDescent="0.35">
      <c r="B2" s="3" t="s">
        <v>102</v>
      </c>
      <c r="C2" s="19">
        <f>'Balance Sheet'!C20</f>
        <v>30044.65</v>
      </c>
      <c r="D2" s="19">
        <f>'Balance Sheet'!D20</f>
        <v>0</v>
      </c>
      <c r="E2" s="19">
        <f>'Balance Sheet'!E20</f>
        <v>0</v>
      </c>
      <c r="F2" s="19">
        <f>'Balance Sheet'!F20</f>
        <v>0</v>
      </c>
      <c r="G2" s="19">
        <f>'Balance Sheet'!G20</f>
        <v>0</v>
      </c>
      <c r="H2" s="19">
        <f>'Balance Sheet'!H20</f>
        <v>35761.43</v>
      </c>
      <c r="I2" s="19">
        <f>'Balance Sheet'!I20</f>
        <v>0</v>
      </c>
      <c r="J2" s="19">
        <f>'Balance Sheet'!J20</f>
        <v>0</v>
      </c>
      <c r="K2" s="19">
        <f>'Balance Sheet'!K20</f>
        <v>0</v>
      </c>
      <c r="L2" s="19">
        <f>'Balance Sheet'!L20</f>
        <v>0</v>
      </c>
      <c r="M2" s="19">
        <f>'Balance Sheet'!M20</f>
        <v>32803.93</v>
      </c>
      <c r="N2" s="19">
        <f>'Balance Sheet'!N20</f>
        <v>0</v>
      </c>
      <c r="O2" s="19">
        <f>'Balance Sheet'!O20</f>
        <v>0</v>
      </c>
      <c r="P2" s="19">
        <f>'Balance Sheet'!P20</f>
        <v>0</v>
      </c>
      <c r="Q2" s="19">
        <f>'Balance Sheet'!Q20</f>
        <v>0</v>
      </c>
      <c r="R2" s="19">
        <f>'Balance Sheet'!R20</f>
        <v>32340.13</v>
      </c>
      <c r="S2" s="19">
        <f>'Balance Sheet'!S20</f>
        <v>0</v>
      </c>
      <c r="T2" s="19">
        <f>'Balance Sheet'!T20</f>
        <v>0</v>
      </c>
      <c r="U2" s="19">
        <f>'Balance Sheet'!U20</f>
        <v>0</v>
      </c>
      <c r="V2" s="19">
        <f>'Balance Sheet'!V20</f>
        <v>0</v>
      </c>
      <c r="W2" s="19">
        <f>'Balance Sheet'!W20</f>
        <v>30810.26</v>
      </c>
      <c r="X2" s="19">
        <f>'Balance Sheet'!X20</f>
        <v>0</v>
      </c>
      <c r="Y2" s="19">
        <f>'Balance Sheet'!Y20</f>
        <v>0</v>
      </c>
      <c r="Z2" s="19">
        <f>'Balance Sheet'!Z20</f>
        <v>0</v>
      </c>
      <c r="AA2" s="19">
        <f>'Balance Sheet'!AA20</f>
        <v>0</v>
      </c>
      <c r="AB2" s="64">
        <f>AB20*AB16/365</f>
        <v>37584.93525324174</v>
      </c>
      <c r="AC2" s="64">
        <f>AC20*AC16/365</f>
        <v>39844.90388549913</v>
      </c>
      <c r="AD2" s="64">
        <f>AD20*AD16/365</f>
        <v>42076.218503087082</v>
      </c>
      <c r="AE2" s="64">
        <f>AE20*AE16/365</f>
        <v>44432.486739259955</v>
      </c>
      <c r="AF2" s="64">
        <f>AF20*AF16/365</f>
        <v>46920.705996658522</v>
      </c>
    </row>
    <row r="3" spans="2:33" x14ac:dyDescent="0.35">
      <c r="B3" s="3" t="s">
        <v>221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3"/>
      <c r="Z3" s="3"/>
      <c r="AA3" s="3"/>
      <c r="AB3" s="64"/>
      <c r="AC3" s="64"/>
      <c r="AD3" s="64"/>
      <c r="AE3" s="64"/>
      <c r="AF3" s="64"/>
    </row>
    <row r="4" spans="2:33" x14ac:dyDescent="0.35">
      <c r="B4" s="78" t="s">
        <v>103</v>
      </c>
      <c r="C4" s="79">
        <f>'Balance Sheet'!C22</f>
        <v>8890.65</v>
      </c>
      <c r="D4" s="79">
        <f>'Balance Sheet'!D22</f>
        <v>0</v>
      </c>
      <c r="E4" s="79">
        <f>'Balance Sheet'!E22</f>
        <v>0</v>
      </c>
      <c r="F4" s="79">
        <f>'Balance Sheet'!F22</f>
        <v>0</v>
      </c>
      <c r="G4" s="79">
        <f>'Balance Sheet'!G22</f>
        <v>0</v>
      </c>
      <c r="H4" s="79">
        <f>'Balance Sheet'!H22</f>
        <v>3951.69</v>
      </c>
      <c r="I4" s="79">
        <f>'Balance Sheet'!I22</f>
        <v>0</v>
      </c>
      <c r="J4" s="79">
        <f>'Balance Sheet'!J22</f>
        <v>0</v>
      </c>
      <c r="K4" s="79">
        <f>'Balance Sheet'!K22</f>
        <v>0</v>
      </c>
      <c r="L4" s="79">
        <f>'Balance Sheet'!L22</f>
        <v>0</v>
      </c>
      <c r="M4" s="79">
        <f>'Balance Sheet'!M22</f>
        <v>11336.88</v>
      </c>
      <c r="N4" s="79">
        <f>'Balance Sheet'!N22</f>
        <v>0</v>
      </c>
      <c r="O4" s="79">
        <f>'Balance Sheet'!O22</f>
        <v>0</v>
      </c>
      <c r="P4" s="79">
        <f>'Balance Sheet'!P22</f>
        <v>0</v>
      </c>
      <c r="Q4" s="79">
        <f>'Balance Sheet'!Q22</f>
        <v>0</v>
      </c>
      <c r="R4" s="79">
        <f>'Balance Sheet'!R22</f>
        <v>16103.95</v>
      </c>
      <c r="S4" s="79">
        <f>'Balance Sheet'!S22</f>
        <v>0</v>
      </c>
      <c r="T4" s="79">
        <f>'Balance Sheet'!T22</f>
        <v>0</v>
      </c>
      <c r="U4" s="79">
        <f>'Balance Sheet'!U22</f>
        <v>0</v>
      </c>
      <c r="V4" s="79">
        <f>'Balance Sheet'!V22</f>
        <v>0</v>
      </c>
      <c r="W4" s="79">
        <f>'Balance Sheet'!W22</f>
        <v>42401.7</v>
      </c>
      <c r="X4" s="79">
        <f>'Balance Sheet'!X22</f>
        <v>0</v>
      </c>
      <c r="Y4" s="79">
        <f>'Balance Sheet'!Y22</f>
        <v>0</v>
      </c>
      <c r="Z4" s="79">
        <f>'Balance Sheet'!Z22</f>
        <v>0</v>
      </c>
      <c r="AA4" s="79">
        <f>'Balance Sheet'!AA22</f>
        <v>0</v>
      </c>
      <c r="AB4" s="64">
        <f>AB5*AB18</f>
        <v>29442.511839999999</v>
      </c>
      <c r="AC4" s="64">
        <f>AC5*AC18</f>
        <v>29954.25506304</v>
      </c>
      <c r="AD4" s="64">
        <f>AD5*AD18</f>
        <v>31631.69334657025</v>
      </c>
      <c r="AE4" s="64">
        <f>AE5*AE18</f>
        <v>33403.068173978179</v>
      </c>
      <c r="AF4" s="64">
        <f>AF5*AF18</f>
        <v>35273.639991720964</v>
      </c>
    </row>
    <row r="5" spans="2:33" s="80" customFormat="1" x14ac:dyDescent="0.35">
      <c r="B5" s="81" t="s">
        <v>222</v>
      </c>
      <c r="C5" s="36">
        <f t="shared" ref="C5:AA5" si="0">C4/C18</f>
        <v>1.2652127508182722</v>
      </c>
      <c r="D5" s="36">
        <f t="shared" si="0"/>
        <v>0</v>
      </c>
      <c r="E5" s="36">
        <f t="shared" si="0"/>
        <v>0</v>
      </c>
      <c r="F5" s="36">
        <f t="shared" si="0"/>
        <v>0</v>
      </c>
      <c r="G5" s="36">
        <f t="shared" si="0"/>
        <v>0</v>
      </c>
      <c r="H5" s="36">
        <f t="shared" si="0"/>
        <v>0.41487559055118112</v>
      </c>
      <c r="I5" s="36">
        <f t="shared" si="0"/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1.6446946177281299</v>
      </c>
      <c r="N5" s="36">
        <f t="shared" si="0"/>
        <v>0</v>
      </c>
      <c r="O5" s="36">
        <f t="shared" si="0"/>
        <v>0</v>
      </c>
      <c r="P5" s="36">
        <f t="shared" si="0"/>
        <v>0</v>
      </c>
      <c r="Q5" s="36">
        <f t="shared" si="0"/>
        <v>0</v>
      </c>
      <c r="R5" s="36">
        <f t="shared" si="0"/>
        <v>3.4410149572649575</v>
      </c>
      <c r="S5" s="36">
        <f t="shared" si="0"/>
        <v>0</v>
      </c>
      <c r="T5" s="36">
        <f t="shared" si="0"/>
        <v>0</v>
      </c>
      <c r="U5" s="36">
        <f t="shared" si="0"/>
        <v>0</v>
      </c>
      <c r="V5" s="36">
        <f t="shared" si="0"/>
        <v>0</v>
      </c>
      <c r="W5" s="36">
        <f t="shared" si="0"/>
        <v>6.2254734987520184</v>
      </c>
      <c r="X5" s="36">
        <f t="shared" si="0"/>
        <v>0</v>
      </c>
      <c r="Y5" s="36">
        <f t="shared" si="0"/>
        <v>0</v>
      </c>
      <c r="Z5" s="36">
        <f t="shared" si="0"/>
        <v>0</v>
      </c>
      <c r="AA5" s="36">
        <f t="shared" si="0"/>
        <v>0</v>
      </c>
      <c r="AB5" s="82">
        <v>3.5</v>
      </c>
      <c r="AC5" s="82">
        <v>3.5</v>
      </c>
      <c r="AD5" s="82">
        <v>3.5</v>
      </c>
      <c r="AE5" s="82">
        <v>3.5</v>
      </c>
      <c r="AF5" s="82">
        <v>3.5</v>
      </c>
    </row>
    <row r="6" spans="2:33" x14ac:dyDescent="0.35">
      <c r="B6" s="78" t="s">
        <v>223</v>
      </c>
      <c r="C6" s="79">
        <f>'Balance Sheet'!C23</f>
        <v>23175.31</v>
      </c>
      <c r="D6" s="79">
        <f>'Balance Sheet'!D23</f>
        <v>0</v>
      </c>
      <c r="E6" s="79">
        <f>'Balance Sheet'!E23</f>
        <v>0</v>
      </c>
      <c r="F6" s="79">
        <f>'Balance Sheet'!F23</f>
        <v>0</v>
      </c>
      <c r="G6" s="79">
        <f>'Balance Sheet'!G23</f>
        <v>0</v>
      </c>
      <c r="H6" s="79">
        <f>'Balance Sheet'!H23</f>
        <v>32091.87</v>
      </c>
      <c r="I6" s="79">
        <f>'Balance Sheet'!I23</f>
        <v>0</v>
      </c>
      <c r="J6" s="79">
        <f>'Balance Sheet'!J23</f>
        <v>0</v>
      </c>
      <c r="K6" s="79">
        <f>'Balance Sheet'!K23</f>
        <v>0</v>
      </c>
      <c r="L6" s="79">
        <f>'Balance Sheet'!L23</f>
        <v>0</v>
      </c>
      <c r="M6" s="79">
        <f>'Balance Sheet'!M23</f>
        <v>41460.36</v>
      </c>
      <c r="N6" s="79">
        <f>'Balance Sheet'!N23</f>
        <v>0</v>
      </c>
      <c r="O6" s="79">
        <f>'Balance Sheet'!O23</f>
        <v>0</v>
      </c>
      <c r="P6" s="79">
        <f>'Balance Sheet'!P23</f>
        <v>0</v>
      </c>
      <c r="Q6" s="79">
        <f>'Balance Sheet'!Q23</f>
        <v>0</v>
      </c>
      <c r="R6" s="79">
        <f>'Balance Sheet'!R23</f>
        <v>49421.47</v>
      </c>
      <c r="S6" s="79">
        <f>'Balance Sheet'!S23</f>
        <v>0</v>
      </c>
      <c r="T6" s="79">
        <f>'Balance Sheet'!T23</f>
        <v>0</v>
      </c>
      <c r="U6" s="79">
        <f>'Balance Sheet'!U23</f>
        <v>0</v>
      </c>
      <c r="V6" s="79">
        <f>'Balance Sheet'!V23</f>
        <v>0</v>
      </c>
      <c r="W6" s="79">
        <f>'Balance Sheet'!W23</f>
        <v>45129.45</v>
      </c>
      <c r="X6" s="79">
        <f>'Balance Sheet'!X23</f>
        <v>0</v>
      </c>
      <c r="Y6" s="79">
        <f>'Balance Sheet'!Y23</f>
        <v>0</v>
      </c>
      <c r="Z6" s="79">
        <f>'Balance Sheet'!Z23</f>
        <v>0</v>
      </c>
      <c r="AA6" s="79">
        <f>'Balance Sheet'!AA23</f>
        <v>0</v>
      </c>
      <c r="AB6" s="64">
        <f>AB21*AB17/365</f>
        <v>50996.398961095889</v>
      </c>
      <c r="AC6" s="64">
        <f>AC21*AC17/365</f>
        <v>53812.145103465213</v>
      </c>
      <c r="AD6" s="64">
        <f>AD21*AD17/365</f>
        <v>56825.625229259262</v>
      </c>
      <c r="AE6" s="64">
        <f>AE21*AE17/365</f>
        <v>60007.860242097784</v>
      </c>
      <c r="AF6" s="64">
        <f>AF21*AF17/365</f>
        <v>63368.300415655263</v>
      </c>
    </row>
    <row r="7" spans="2:33" x14ac:dyDescent="0.35">
      <c r="B7" s="78" t="s">
        <v>224</v>
      </c>
      <c r="C7" s="79">
        <f>'Balance Sheet'!C25</f>
        <v>34056.15</v>
      </c>
      <c r="D7" s="79">
        <f>'Balance Sheet'!D25</f>
        <v>0</v>
      </c>
      <c r="E7" s="79">
        <f>'Balance Sheet'!E25</f>
        <v>0</v>
      </c>
      <c r="F7" s="79">
        <f>'Balance Sheet'!F25</f>
        <v>0</v>
      </c>
      <c r="G7" s="79">
        <f>'Balance Sheet'!G25</f>
        <v>0</v>
      </c>
      <c r="H7" s="79">
        <f>'Balance Sheet'!H25</f>
        <v>8843.07</v>
      </c>
      <c r="I7" s="79">
        <f>'Balance Sheet'!I25</f>
        <v>0</v>
      </c>
      <c r="J7" s="79">
        <f>'Balance Sheet'!J25</f>
        <v>0</v>
      </c>
      <c r="K7" s="79">
        <f>'Balance Sheet'!K25</f>
        <v>0</v>
      </c>
      <c r="L7" s="79">
        <f>'Balance Sheet'!L25</f>
        <v>0</v>
      </c>
      <c r="M7" s="79">
        <f>'Balance Sheet'!M25</f>
        <v>13795.57</v>
      </c>
      <c r="N7" s="79">
        <f>'Balance Sheet'!N25</f>
        <v>0</v>
      </c>
      <c r="O7" s="79">
        <f>'Balance Sheet'!O25</f>
        <v>0</v>
      </c>
      <c r="P7" s="79">
        <f>'Balance Sheet'!P25</f>
        <v>0</v>
      </c>
      <c r="Q7" s="79">
        <f>'Balance Sheet'!Q25</f>
        <v>0</v>
      </c>
      <c r="R7" s="79">
        <f>'Balance Sheet'!R25</f>
        <v>14842.62</v>
      </c>
      <c r="S7" s="79">
        <f>'Balance Sheet'!S25</f>
        <v>0</v>
      </c>
      <c r="T7" s="79">
        <f>'Balance Sheet'!T25</f>
        <v>0</v>
      </c>
      <c r="U7" s="79">
        <f>'Balance Sheet'!U25</f>
        <v>0</v>
      </c>
      <c r="V7" s="79">
        <f>'Balance Sheet'!V25</f>
        <v>0</v>
      </c>
      <c r="W7" s="79">
        <f>'Balance Sheet'!W25</f>
        <v>16827.5</v>
      </c>
      <c r="X7" s="79">
        <f>'Balance Sheet'!X25</f>
        <v>0</v>
      </c>
      <c r="Y7" s="79">
        <f>'Balance Sheet'!Y25</f>
        <v>0</v>
      </c>
      <c r="Z7" s="79">
        <f>'Balance Sheet'!Z25</f>
        <v>0</v>
      </c>
      <c r="AA7" s="79">
        <f>'Balance Sheet'!AA25</f>
        <v>0</v>
      </c>
      <c r="AB7" s="64">
        <f>AB8*AB17</f>
        <v>20681.872912000003</v>
      </c>
      <c r="AC7" s="64">
        <f>AC8*AC17</f>
        <v>21823.814403072003</v>
      </c>
      <c r="AD7" s="64">
        <f>AD8*AD17</f>
        <v>23045.948009644038</v>
      </c>
      <c r="AE7" s="64">
        <f>AE8*AE17</f>
        <v>24336.521098184105</v>
      </c>
      <c r="AF7" s="64">
        <f>AF8*AF17</f>
        <v>25699.366279682417</v>
      </c>
      <c r="AG7" s="64"/>
    </row>
    <row r="8" spans="2:33" s="38" customFormat="1" x14ac:dyDescent="0.35">
      <c r="B8" s="65" t="s">
        <v>225</v>
      </c>
      <c r="C8" s="83">
        <f t="shared" ref="C8:AA8" si="1">C7/C17</f>
        <v>0.11541327775518503</v>
      </c>
      <c r="D8" s="83">
        <f t="shared" si="1"/>
        <v>0</v>
      </c>
      <c r="E8" s="83">
        <f t="shared" si="1"/>
        <v>0</v>
      </c>
      <c r="F8" s="83">
        <f t="shared" si="1"/>
        <v>0</v>
      </c>
      <c r="G8" s="83">
        <f t="shared" si="1"/>
        <v>0</v>
      </c>
      <c r="H8" s="83">
        <f t="shared" si="1"/>
        <v>2.6900872453822004E-2</v>
      </c>
      <c r="I8" s="83">
        <f t="shared" si="1"/>
        <v>0</v>
      </c>
      <c r="J8" s="83">
        <f t="shared" si="1"/>
        <v>0</v>
      </c>
      <c r="K8" s="83">
        <f t="shared" si="1"/>
        <v>0</v>
      </c>
      <c r="L8" s="83">
        <f t="shared" si="1"/>
        <v>0</v>
      </c>
      <c r="M8" s="83">
        <f t="shared" si="1"/>
        <v>3.970336666033511E-2</v>
      </c>
      <c r="N8" s="83">
        <f t="shared" si="1"/>
        <v>0</v>
      </c>
      <c r="O8" s="83">
        <f t="shared" si="1"/>
        <v>0</v>
      </c>
      <c r="P8" s="83">
        <f t="shared" si="1"/>
        <v>0</v>
      </c>
      <c r="Q8" s="83">
        <f t="shared" si="1"/>
        <v>0</v>
      </c>
      <c r="R8" s="83">
        <f t="shared" si="1"/>
        <v>4.0946401132172287E-2</v>
      </c>
      <c r="S8" s="83">
        <f t="shared" si="1"/>
        <v>0</v>
      </c>
      <c r="T8" s="83">
        <f t="shared" si="1"/>
        <v>0</v>
      </c>
      <c r="U8" s="83">
        <f t="shared" si="1"/>
        <v>0</v>
      </c>
      <c r="V8" s="83">
        <f t="shared" si="1"/>
        <v>0</v>
      </c>
      <c r="W8" s="83">
        <f t="shared" si="1"/>
        <v>4.3400046424057981E-2</v>
      </c>
      <c r="X8" s="83">
        <f t="shared" si="1"/>
        <v>0</v>
      </c>
      <c r="Y8" s="83">
        <f t="shared" si="1"/>
        <v>0</v>
      </c>
      <c r="Z8" s="83">
        <f t="shared" si="1"/>
        <v>0</v>
      </c>
      <c r="AA8" s="83">
        <f t="shared" si="1"/>
        <v>0</v>
      </c>
      <c r="AB8" s="82">
        <v>0.05</v>
      </c>
      <c r="AC8" s="82">
        <v>0.05</v>
      </c>
      <c r="AD8" s="82">
        <v>0.05</v>
      </c>
      <c r="AE8" s="82">
        <v>0.05</v>
      </c>
      <c r="AF8" s="82">
        <v>0.05</v>
      </c>
    </row>
    <row r="9" spans="2:33" x14ac:dyDescent="0.35">
      <c r="B9" s="78" t="s">
        <v>226</v>
      </c>
      <c r="C9" s="79">
        <f>'Balance Sheet'!C27</f>
        <v>3625.45</v>
      </c>
      <c r="D9" s="79">
        <f>'Balance Sheet'!D27</f>
        <v>0</v>
      </c>
      <c r="E9" s="79">
        <f>'Balance Sheet'!E27</f>
        <v>0</v>
      </c>
      <c r="F9" s="79">
        <f>'Balance Sheet'!F27</f>
        <v>0</v>
      </c>
      <c r="G9" s="79">
        <f>'Balance Sheet'!G27</f>
        <v>0</v>
      </c>
      <c r="H9" s="79">
        <f>'Balance Sheet'!H27</f>
        <v>4567.8999999999996</v>
      </c>
      <c r="I9" s="79">
        <f>'Balance Sheet'!I27</f>
        <v>0</v>
      </c>
      <c r="J9" s="79">
        <f>'Balance Sheet'!J27</f>
        <v>0</v>
      </c>
      <c r="K9" s="79">
        <f>'Balance Sheet'!K27</f>
        <v>0</v>
      </c>
      <c r="L9" s="79">
        <f>'Balance Sheet'!L27</f>
        <v>0</v>
      </c>
      <c r="M9" s="79">
        <f>'Balance Sheet'!M27</f>
        <v>7133.47</v>
      </c>
      <c r="N9" s="79">
        <f>'Balance Sheet'!N27</f>
        <v>0</v>
      </c>
      <c r="O9" s="79">
        <f>'Balance Sheet'!O27</f>
        <v>0</v>
      </c>
      <c r="P9" s="79">
        <f>'Balance Sheet'!P27</f>
        <v>0</v>
      </c>
      <c r="Q9" s="79">
        <f>'Balance Sheet'!Q27</f>
        <v>0</v>
      </c>
      <c r="R9" s="79">
        <f>'Balance Sheet'!R27</f>
        <v>7243.55</v>
      </c>
      <c r="S9" s="79">
        <f>'Balance Sheet'!S27</f>
        <v>0</v>
      </c>
      <c r="T9" s="79">
        <f>'Balance Sheet'!T27</f>
        <v>0</v>
      </c>
      <c r="U9" s="79">
        <f>'Balance Sheet'!U27</f>
        <v>0</v>
      </c>
      <c r="V9" s="79">
        <f>'Balance Sheet'!V27</f>
        <v>0</v>
      </c>
      <c r="W9" s="79">
        <f>'Balance Sheet'!W27</f>
        <v>12954.46</v>
      </c>
      <c r="X9" s="79">
        <f>'Balance Sheet'!X27</f>
        <v>0</v>
      </c>
      <c r="Y9" s="79">
        <f>'Balance Sheet'!Y27</f>
        <v>0</v>
      </c>
      <c r="Z9" s="79">
        <f>'Balance Sheet'!Z27</f>
        <v>0</v>
      </c>
      <c r="AA9" s="79">
        <f>'Balance Sheet'!AA27</f>
        <v>0</v>
      </c>
      <c r="AB9" s="64">
        <f>AB10*AB17</f>
        <v>12409.123747199999</v>
      </c>
      <c r="AC9" s="64">
        <f>AC10*AC17</f>
        <v>13094.288641843201</v>
      </c>
      <c r="AD9" s="64">
        <f>AD10*AD17</f>
        <v>13827.568805786421</v>
      </c>
      <c r="AE9" s="64">
        <f>AE10*AE17</f>
        <v>14601.912658910462</v>
      </c>
      <c r="AF9" s="64">
        <f>AF10*AF17</f>
        <v>15419.619767809449</v>
      </c>
    </row>
    <row r="10" spans="2:33" x14ac:dyDescent="0.35">
      <c r="B10" s="65" t="s">
        <v>225</v>
      </c>
      <c r="C10" s="83">
        <f t="shared" ref="C10:AA10" si="2">C9/C17</f>
        <v>1.2286329131083096E-2</v>
      </c>
      <c r="D10" s="83">
        <f t="shared" si="2"/>
        <v>0</v>
      </c>
      <c r="E10" s="83">
        <f t="shared" si="2"/>
        <v>0</v>
      </c>
      <c r="F10" s="83">
        <f t="shared" si="2"/>
        <v>0</v>
      </c>
      <c r="G10" s="83">
        <f t="shared" si="2"/>
        <v>0</v>
      </c>
      <c r="H10" s="83">
        <f t="shared" si="2"/>
        <v>1.3895682752914262E-2</v>
      </c>
      <c r="I10" s="83">
        <f t="shared" si="2"/>
        <v>0</v>
      </c>
      <c r="J10" s="83">
        <f t="shared" si="2"/>
        <v>0</v>
      </c>
      <c r="K10" s="83">
        <f t="shared" si="2"/>
        <v>0</v>
      </c>
      <c r="L10" s="83">
        <f t="shared" si="2"/>
        <v>0</v>
      </c>
      <c r="M10" s="83">
        <f t="shared" si="2"/>
        <v>2.0529979911703591E-2</v>
      </c>
      <c r="N10" s="83">
        <f t="shared" si="2"/>
        <v>0</v>
      </c>
      <c r="O10" s="83">
        <f t="shared" si="2"/>
        <v>0</v>
      </c>
      <c r="P10" s="83">
        <f t="shared" si="2"/>
        <v>0</v>
      </c>
      <c r="Q10" s="83">
        <f t="shared" si="2"/>
        <v>0</v>
      </c>
      <c r="R10" s="83">
        <f t="shared" si="2"/>
        <v>1.9982813271575139E-2</v>
      </c>
      <c r="S10" s="83">
        <f t="shared" si="2"/>
        <v>0</v>
      </c>
      <c r="T10" s="83">
        <f t="shared" si="2"/>
        <v>0</v>
      </c>
      <c r="U10" s="83">
        <f t="shared" si="2"/>
        <v>0</v>
      </c>
      <c r="V10" s="83">
        <f t="shared" si="2"/>
        <v>0</v>
      </c>
      <c r="W10" s="83">
        <f t="shared" si="2"/>
        <v>3.3411033451112883E-2</v>
      </c>
      <c r="X10" s="83">
        <f t="shared" si="2"/>
        <v>0</v>
      </c>
      <c r="Y10" s="83">
        <f t="shared" si="2"/>
        <v>0</v>
      </c>
      <c r="Z10" s="83">
        <f t="shared" si="2"/>
        <v>0</v>
      </c>
      <c r="AA10" s="83">
        <f t="shared" si="2"/>
        <v>0</v>
      </c>
      <c r="AB10" s="82">
        <v>0.03</v>
      </c>
      <c r="AC10" s="82">
        <v>0.03</v>
      </c>
      <c r="AD10" s="82">
        <v>0.03</v>
      </c>
      <c r="AE10" s="82">
        <v>0.03</v>
      </c>
      <c r="AF10" s="82">
        <v>0.03</v>
      </c>
    </row>
    <row r="11" spans="2:33" x14ac:dyDescent="0.35">
      <c r="B11" s="3" t="s">
        <v>227</v>
      </c>
      <c r="C11" s="19">
        <f>'Balance Sheet'!C29</f>
        <v>10602.75</v>
      </c>
      <c r="D11" s="19">
        <f>'Balance Sheet'!D29</f>
        <v>0</v>
      </c>
      <c r="E11" s="19">
        <f>'Balance Sheet'!E29</f>
        <v>0</v>
      </c>
      <c r="F11" s="19">
        <f>'Balance Sheet'!F29</f>
        <v>0</v>
      </c>
      <c r="G11" s="19">
        <f>'Balance Sheet'!G29</f>
        <v>0</v>
      </c>
      <c r="H11" s="19">
        <f>'Balance Sheet'!H29</f>
        <v>18841.03</v>
      </c>
      <c r="I11" s="19">
        <f>'Balance Sheet'!I29</f>
        <v>0</v>
      </c>
      <c r="J11" s="19">
        <f>'Balance Sheet'!J29</f>
        <v>0</v>
      </c>
      <c r="K11" s="19">
        <f>'Balance Sheet'!K29</f>
        <v>0</v>
      </c>
      <c r="L11" s="19">
        <f>'Balance Sheet'!L29</f>
        <v>0</v>
      </c>
      <c r="M11" s="19">
        <f>'Balance Sheet'!M29</f>
        <v>16804.189999999999</v>
      </c>
      <c r="N11" s="19">
        <f>'Balance Sheet'!N29</f>
        <v>0</v>
      </c>
      <c r="O11" s="19">
        <f>'Balance Sheet'!O29</f>
        <v>0</v>
      </c>
      <c r="P11" s="19">
        <f>'Balance Sheet'!P29</f>
        <v>0</v>
      </c>
      <c r="Q11" s="19">
        <f>'Balance Sheet'!Q29</f>
        <v>0</v>
      </c>
      <c r="R11" s="19">
        <f>'Balance Sheet'!R29</f>
        <v>16064.64</v>
      </c>
      <c r="S11" s="19">
        <f>'Balance Sheet'!S29</f>
        <v>0</v>
      </c>
      <c r="T11" s="19">
        <f>'Balance Sheet'!T29</f>
        <v>0</v>
      </c>
      <c r="U11" s="19">
        <f>'Balance Sheet'!U29</f>
        <v>0</v>
      </c>
      <c r="V11" s="19">
        <f>'Balance Sheet'!V29</f>
        <v>0</v>
      </c>
      <c r="W11" s="19">
        <f>'Balance Sheet'!W29</f>
        <v>14315.13</v>
      </c>
      <c r="X11" s="19">
        <f>'Balance Sheet'!X29</f>
        <v>0</v>
      </c>
      <c r="Y11" s="19">
        <f>'Balance Sheet'!Y29</f>
        <v>0</v>
      </c>
      <c r="Z11" s="19">
        <f>'Balance Sheet'!Z29</f>
        <v>0</v>
      </c>
      <c r="AA11" s="19">
        <f>'Balance Sheet'!AA29</f>
        <v>0</v>
      </c>
      <c r="AB11" s="64">
        <f>AB12*AB17</f>
        <v>16545.498329599999</v>
      </c>
      <c r="AC11" s="64">
        <f>AC12*AC17</f>
        <v>17459.051522457601</v>
      </c>
      <c r="AD11" s="64">
        <f>AD12*AD17</f>
        <v>18436.758407715228</v>
      </c>
      <c r="AE11" s="64">
        <f>AE12*AE17</f>
        <v>19469.216878547282</v>
      </c>
      <c r="AF11" s="64">
        <f>AF12*AF17</f>
        <v>20559.493023745934</v>
      </c>
    </row>
    <row r="12" spans="2:33" x14ac:dyDescent="0.35">
      <c r="B12" s="65" t="s">
        <v>225</v>
      </c>
      <c r="C12" s="83">
        <f t="shared" ref="C12:AA12" si="3">C11/C17</f>
        <v>3.5931781211874743E-2</v>
      </c>
      <c r="D12" s="83">
        <f t="shared" si="3"/>
        <v>0</v>
      </c>
      <c r="E12" s="83">
        <f t="shared" si="3"/>
        <v>0</v>
      </c>
      <c r="F12" s="83">
        <f t="shared" si="3"/>
        <v>0</v>
      </c>
      <c r="G12" s="83">
        <f t="shared" si="3"/>
        <v>0</v>
      </c>
      <c r="H12" s="83">
        <f t="shared" si="3"/>
        <v>5.7314953396120805E-2</v>
      </c>
      <c r="I12" s="83">
        <f t="shared" si="3"/>
        <v>0</v>
      </c>
      <c r="J12" s="83">
        <f t="shared" si="3"/>
        <v>0</v>
      </c>
      <c r="K12" s="83">
        <f t="shared" si="3"/>
        <v>0</v>
      </c>
      <c r="L12" s="83">
        <f t="shared" si="3"/>
        <v>0</v>
      </c>
      <c r="M12" s="83">
        <f t="shared" si="3"/>
        <v>4.8362113127615361E-2</v>
      </c>
      <c r="N12" s="83">
        <f t="shared" si="3"/>
        <v>0</v>
      </c>
      <c r="O12" s="83">
        <f t="shared" si="3"/>
        <v>0</v>
      </c>
      <c r="P12" s="83">
        <f t="shared" si="3"/>
        <v>0</v>
      </c>
      <c r="Q12" s="83">
        <f t="shared" si="3"/>
        <v>0</v>
      </c>
      <c r="R12" s="83">
        <f t="shared" si="3"/>
        <v>4.4317593085583286E-2</v>
      </c>
      <c r="S12" s="83">
        <f t="shared" si="3"/>
        <v>0</v>
      </c>
      <c r="T12" s="83">
        <f t="shared" si="3"/>
        <v>0</v>
      </c>
      <c r="U12" s="83">
        <f t="shared" si="3"/>
        <v>0</v>
      </c>
      <c r="V12" s="83">
        <f t="shared" si="3"/>
        <v>0</v>
      </c>
      <c r="W12" s="83">
        <f t="shared" si="3"/>
        <v>3.6920356949423569E-2</v>
      </c>
      <c r="X12" s="83">
        <f t="shared" si="3"/>
        <v>0</v>
      </c>
      <c r="Y12" s="83">
        <f t="shared" si="3"/>
        <v>0</v>
      </c>
      <c r="Z12" s="83">
        <f t="shared" si="3"/>
        <v>0</v>
      </c>
      <c r="AA12" s="83">
        <f t="shared" si="3"/>
        <v>0</v>
      </c>
      <c r="AB12" s="82">
        <v>0.04</v>
      </c>
      <c r="AC12" s="82">
        <v>0.04</v>
      </c>
      <c r="AD12" s="82">
        <v>0.04</v>
      </c>
      <c r="AE12" s="82">
        <v>0.04</v>
      </c>
      <c r="AF12" s="82">
        <v>0.04</v>
      </c>
    </row>
    <row r="13" spans="2:33" x14ac:dyDescent="0.35">
      <c r="B13" s="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84"/>
      <c r="AC13" s="84"/>
      <c r="AD13" s="84"/>
      <c r="AE13" s="84"/>
      <c r="AF13" s="84"/>
    </row>
    <row r="14" spans="2:33" s="13" customFormat="1" x14ac:dyDescent="0.35">
      <c r="B14" s="17" t="s">
        <v>228</v>
      </c>
      <c r="C14" s="43">
        <f t="shared" ref="C14:AF14" si="4">C11+C9+C7+C6+C4+C2</f>
        <v>110394.95999999999</v>
      </c>
      <c r="D14" s="43">
        <f t="shared" si="4"/>
        <v>0</v>
      </c>
      <c r="E14" s="43">
        <f t="shared" si="4"/>
        <v>0</v>
      </c>
      <c r="F14" s="43">
        <f t="shared" si="4"/>
        <v>0</v>
      </c>
      <c r="G14" s="43">
        <f t="shared" si="4"/>
        <v>0</v>
      </c>
      <c r="H14" s="43">
        <f t="shared" si="4"/>
        <v>104056.98999999999</v>
      </c>
      <c r="I14" s="43">
        <f t="shared" si="4"/>
        <v>0</v>
      </c>
      <c r="J14" s="43">
        <f t="shared" si="4"/>
        <v>0</v>
      </c>
      <c r="K14" s="43">
        <f t="shared" si="4"/>
        <v>0</v>
      </c>
      <c r="L14" s="43">
        <f t="shared" si="4"/>
        <v>0</v>
      </c>
      <c r="M14" s="43">
        <f t="shared" si="4"/>
        <v>123334.39999999999</v>
      </c>
      <c r="N14" s="43">
        <f t="shared" si="4"/>
        <v>0</v>
      </c>
      <c r="O14" s="43">
        <f t="shared" si="4"/>
        <v>0</v>
      </c>
      <c r="P14" s="43">
        <f t="shared" si="4"/>
        <v>0</v>
      </c>
      <c r="Q14" s="43">
        <f t="shared" si="4"/>
        <v>0</v>
      </c>
      <c r="R14" s="43">
        <f t="shared" si="4"/>
        <v>136016.35999999999</v>
      </c>
      <c r="S14" s="43">
        <f t="shared" si="4"/>
        <v>0</v>
      </c>
      <c r="T14" s="43">
        <f t="shared" si="4"/>
        <v>0</v>
      </c>
      <c r="U14" s="43">
        <f t="shared" si="4"/>
        <v>0</v>
      </c>
      <c r="V14" s="43">
        <f t="shared" si="4"/>
        <v>0</v>
      </c>
      <c r="W14" s="43">
        <f t="shared" si="4"/>
        <v>162438.5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167660.34104313763</v>
      </c>
      <c r="AC14" s="43">
        <f t="shared" si="4"/>
        <v>175988.45861937717</v>
      </c>
      <c r="AD14" s="43">
        <f t="shared" si="4"/>
        <v>185843.81230206229</v>
      </c>
      <c r="AE14" s="43">
        <f t="shared" si="4"/>
        <v>196251.06579097779</v>
      </c>
      <c r="AF14" s="43">
        <f t="shared" si="4"/>
        <v>207241.12547527254</v>
      </c>
    </row>
    <row r="15" spans="2:33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2:33" s="13" customFormat="1" x14ac:dyDescent="0.35">
      <c r="B16" s="17" t="s">
        <v>61</v>
      </c>
      <c r="C16" s="56">
        <f>'Income Statement'!C14</f>
        <v>138737</v>
      </c>
      <c r="D16" s="56">
        <f>'Income Statement'!D14</f>
        <v>33448</v>
      </c>
      <c r="E16" s="56">
        <f>'Income Statement'!E14</f>
        <v>35170</v>
      </c>
      <c r="F16" s="56">
        <f>'Income Statement'!F14</f>
        <v>47524</v>
      </c>
      <c r="G16" s="56">
        <f>'Income Statement'!G14</f>
        <v>43936</v>
      </c>
      <c r="H16" s="56">
        <f>'Income Statement'!H14</f>
        <v>160078</v>
      </c>
      <c r="I16" s="56">
        <f>'Income Statement'!I14</f>
        <v>42737</v>
      </c>
      <c r="J16" s="56">
        <f>'Income Statement'!J14</f>
        <v>41305</v>
      </c>
      <c r="K16" s="56">
        <f>'Income Statement'!K14</f>
        <v>48879</v>
      </c>
      <c r="L16" s="56">
        <f>'Income Statement'!L14</f>
        <v>43783</v>
      </c>
      <c r="M16" s="56">
        <f>'Income Statement'!M14</f>
        <v>176206</v>
      </c>
      <c r="N16" s="56">
        <f>'Income Statement'!N14</f>
        <v>43746</v>
      </c>
      <c r="O16" s="56">
        <f>'Income Statement'!O14</f>
        <v>41311</v>
      </c>
      <c r="P16" s="56">
        <f>'Income Statement'!P14</f>
        <v>47694</v>
      </c>
      <c r="Q16" s="56">
        <f>'Income Statement'!Q14</f>
        <v>48514</v>
      </c>
      <c r="R16" s="56">
        <f>'Income Statement'!R14</f>
        <v>181274</v>
      </c>
      <c r="S16" s="56">
        <f>'Income Statement'!S14</f>
        <v>47666</v>
      </c>
      <c r="T16" s="56">
        <f>'Income Statement'!T14</f>
        <v>40674</v>
      </c>
      <c r="U16" s="56">
        <f>'Income Statement'!U14</f>
        <v>48754</v>
      </c>
      <c r="V16" s="56">
        <f>'Income Statement'!V14</f>
        <v>51731</v>
      </c>
      <c r="W16" s="56">
        <f>'Income Statement'!W14</f>
        <v>188825</v>
      </c>
      <c r="X16" s="56">
        <f>'Income Statement'!X14</f>
        <v>45621</v>
      </c>
      <c r="Y16" s="21">
        <f>'Income Statement'!Y14</f>
        <v>48142.255392000006</v>
      </c>
      <c r="Z16" s="21">
        <f>'Income Statement'!Z14</f>
        <v>56178.367660800002</v>
      </c>
      <c r="AA16" s="21">
        <f>'Income Statement'!AA14</f>
        <v>51945.501484799999</v>
      </c>
      <c r="AB16" s="21">
        <f>'Income Statement'!AB14</f>
        <v>201887.12453760003</v>
      </c>
      <c r="AC16" s="21">
        <f>'Income Statement'!AC14</f>
        <v>213873.38115010562</v>
      </c>
      <c r="AD16" s="21">
        <f>'Income Statement'!AD14</f>
        <v>225850.29049451154</v>
      </c>
      <c r="AE16" s="21">
        <f>'Income Statement'!AE14</f>
        <v>238497.90676220419</v>
      </c>
      <c r="AF16" s="21">
        <f>'Income Statement'!AF14</f>
        <v>251853.78954088766</v>
      </c>
    </row>
    <row r="17" spans="2:32" s="13" customFormat="1" x14ac:dyDescent="0.35">
      <c r="B17" s="17" t="s">
        <v>53</v>
      </c>
      <c r="C17" s="56">
        <f>'Income Statement'!C5</f>
        <v>295080</v>
      </c>
      <c r="D17" s="56">
        <f>'Income Statement'!D5</f>
        <v>67167</v>
      </c>
      <c r="E17" s="56">
        <f>'Income Statement'!E5</f>
        <v>82645</v>
      </c>
      <c r="F17" s="56">
        <f>'Income Statement'!F5</f>
        <v>98848</v>
      </c>
      <c r="G17" s="56">
        <f>'Income Statement'!G5</f>
        <v>80068</v>
      </c>
      <c r="H17" s="56">
        <f>'Income Statement'!H5</f>
        <v>328728</v>
      </c>
      <c r="I17" s="56">
        <f>'Income Statement'!I5</f>
        <v>77964</v>
      </c>
      <c r="J17" s="56">
        <f>'Income Statement'!J5</f>
        <v>85574</v>
      </c>
      <c r="K17" s="56">
        <f>'Income Statement'!K5</f>
        <v>98958</v>
      </c>
      <c r="L17" s="56">
        <f>'Income Statement'!L5</f>
        <v>84970</v>
      </c>
      <c r="M17" s="56">
        <f>'Income Statement'!M5</f>
        <v>347466</v>
      </c>
      <c r="N17" s="56">
        <f>'Income Statement'!N5</f>
        <v>83394</v>
      </c>
      <c r="O17" s="56">
        <f>'Income Statement'!O5</f>
        <v>87598</v>
      </c>
      <c r="P17" s="56">
        <f>'Income Statement'!P5</f>
        <v>101303</v>
      </c>
      <c r="Q17" s="56">
        <f>'Income Statement'!Q5</f>
        <v>90194</v>
      </c>
      <c r="R17" s="56">
        <f>'Income Statement'!R5</f>
        <v>362489</v>
      </c>
      <c r="S17" s="56">
        <f>'Income Statement'!S5</f>
        <v>91653</v>
      </c>
      <c r="T17" s="56">
        <f>'Income Statement'!T5</f>
        <v>91215</v>
      </c>
      <c r="U17" s="56">
        <f>'Income Statement'!U5</f>
        <v>106441</v>
      </c>
      <c r="V17" s="56">
        <f>'Income Statement'!V5</f>
        <v>98421</v>
      </c>
      <c r="W17" s="56">
        <f>'Income Statement'!W5</f>
        <v>387730</v>
      </c>
      <c r="X17" s="56">
        <f>'Income Statement'!X5</f>
        <v>92568</v>
      </c>
      <c r="Y17" s="21">
        <f>'Income Statement'!Y5</f>
        <v>98249.500800000009</v>
      </c>
      <c r="Z17" s="21">
        <f>'Income Statement'!Z5</f>
        <v>114649.72992000001</v>
      </c>
      <c r="AA17" s="21">
        <f>'Income Statement'!AA5</f>
        <v>106011.22752</v>
      </c>
      <c r="AB17" s="21">
        <f>'Income Statement'!AB5</f>
        <v>413637.45824000001</v>
      </c>
      <c r="AC17" s="21">
        <f>'Income Statement'!AC5</f>
        <v>436476.28806144005</v>
      </c>
      <c r="AD17" s="21">
        <f>'Income Statement'!AD5</f>
        <v>460918.96019288071</v>
      </c>
      <c r="AE17" s="21">
        <f>'Income Statement'!AE5</f>
        <v>486730.42196368205</v>
      </c>
      <c r="AF17" s="21">
        <f>'Income Statement'!AF5</f>
        <v>513987.3255936483</v>
      </c>
    </row>
    <row r="18" spans="2:32" x14ac:dyDescent="0.35">
      <c r="B18" s="3" t="s">
        <v>229</v>
      </c>
      <c r="C18" s="63">
        <f>'Income Statement'!C4</f>
        <v>7027</v>
      </c>
      <c r="D18" s="63">
        <f>'Income Statement'!D4</f>
        <v>1072</v>
      </c>
      <c r="E18" s="63">
        <f>'Income Statement'!E4</f>
        <v>3761</v>
      </c>
      <c r="F18" s="63">
        <f>'Income Statement'!F4</f>
        <v>1663</v>
      </c>
      <c r="G18" s="63">
        <f>'Income Statement'!G4</f>
        <v>3029</v>
      </c>
      <c r="H18" s="63">
        <f>'Income Statement'!H4</f>
        <v>9525</v>
      </c>
      <c r="I18" s="63">
        <f>'Income Statement'!I4</f>
        <v>633</v>
      </c>
      <c r="J18" s="63">
        <f>'Income Statement'!J4</f>
        <v>4199</v>
      </c>
      <c r="K18" s="63">
        <f>'Income Statement'!K4</f>
        <v>686</v>
      </c>
      <c r="L18" s="63">
        <f>'Income Statement'!L4</f>
        <v>1375</v>
      </c>
      <c r="M18" s="63">
        <f>'Income Statement'!M4</f>
        <v>6893</v>
      </c>
      <c r="N18" s="63">
        <f>'Income Statement'!N4</f>
        <v>828</v>
      </c>
      <c r="O18" s="63">
        <f>'Income Statement'!O4</f>
        <v>1111</v>
      </c>
      <c r="P18" s="63">
        <f>'Income Statement'!P4</f>
        <v>1671</v>
      </c>
      <c r="Q18" s="63">
        <f>'Income Statement'!Q4</f>
        <v>1070</v>
      </c>
      <c r="R18" s="63">
        <f>'Income Statement'!R4</f>
        <v>4680</v>
      </c>
      <c r="S18" s="63">
        <f>'Income Statement'!S4</f>
        <v>1046</v>
      </c>
      <c r="T18" s="63">
        <f>'Income Statement'!T4</f>
        <v>2156</v>
      </c>
      <c r="U18" s="63">
        <f>'Income Statement'!U4</f>
        <v>1493</v>
      </c>
      <c r="V18" s="63">
        <f>'Income Statement'!V4</f>
        <v>2116</v>
      </c>
      <c r="W18" s="63">
        <f>'Income Statement'!W4</f>
        <v>6811</v>
      </c>
      <c r="X18" s="63">
        <f>'Income Statement'!X4</f>
        <v>2159</v>
      </c>
      <c r="Y18" s="19">
        <f>'Income Statement'!Y4</f>
        <v>1926.4608000000003</v>
      </c>
      <c r="Z18" s="19">
        <f>'Income Statement'!Z4</f>
        <v>2248.0339200000003</v>
      </c>
      <c r="AA18" s="19">
        <f>'Income Statement'!AA4</f>
        <v>2078.6515199999999</v>
      </c>
      <c r="AB18" s="19">
        <f>'Income Statement'!AB4</f>
        <v>8412.14624</v>
      </c>
      <c r="AC18" s="19">
        <f>'Income Statement'!AC4</f>
        <v>8558.3585894400003</v>
      </c>
      <c r="AD18" s="19">
        <f>'Income Statement'!AD4</f>
        <v>9037.6266704486425</v>
      </c>
      <c r="AE18" s="19">
        <f>'Income Statement'!AE4</f>
        <v>9543.733763993765</v>
      </c>
      <c r="AF18" s="19">
        <f>'Income Statement'!AF4</f>
        <v>10078.182854777418</v>
      </c>
    </row>
    <row r="19" spans="2:32" x14ac:dyDescent="0.35">
      <c r="B19" s="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</row>
    <row r="20" spans="2:32" x14ac:dyDescent="0.35">
      <c r="B20" s="3" t="s">
        <v>230</v>
      </c>
      <c r="C20" s="64">
        <f t="shared" ref="C20:AA20" si="5">C2/C16*365</f>
        <v>79.043782480520704</v>
      </c>
      <c r="D20" s="64">
        <f t="shared" si="5"/>
        <v>0</v>
      </c>
      <c r="E20" s="64">
        <f t="shared" si="5"/>
        <v>0</v>
      </c>
      <c r="F20" s="64">
        <f t="shared" si="5"/>
        <v>0</v>
      </c>
      <c r="G20" s="64">
        <f t="shared" si="5"/>
        <v>0</v>
      </c>
      <c r="H20" s="64">
        <f t="shared" si="5"/>
        <v>81.541010944664478</v>
      </c>
      <c r="I20" s="64">
        <f t="shared" si="5"/>
        <v>0</v>
      </c>
      <c r="J20" s="64">
        <f t="shared" si="5"/>
        <v>0</v>
      </c>
      <c r="K20" s="64">
        <f t="shared" si="5"/>
        <v>0</v>
      </c>
      <c r="L20" s="64">
        <f t="shared" si="5"/>
        <v>0</v>
      </c>
      <c r="M20" s="64">
        <f t="shared" si="5"/>
        <v>67.951343597834352</v>
      </c>
      <c r="N20" s="64">
        <f t="shared" si="5"/>
        <v>0</v>
      </c>
      <c r="O20" s="64">
        <f t="shared" si="5"/>
        <v>0</v>
      </c>
      <c r="P20" s="64">
        <f t="shared" si="5"/>
        <v>0</v>
      </c>
      <c r="Q20" s="64">
        <f t="shared" si="5"/>
        <v>0</v>
      </c>
      <c r="R20" s="64">
        <f t="shared" si="5"/>
        <v>65.117708275869674</v>
      </c>
      <c r="S20" s="64">
        <f t="shared" si="5"/>
        <v>0</v>
      </c>
      <c r="T20" s="64">
        <f t="shared" si="5"/>
        <v>0</v>
      </c>
      <c r="U20" s="64">
        <f t="shared" si="5"/>
        <v>0</v>
      </c>
      <c r="V20" s="64">
        <f t="shared" si="5"/>
        <v>0</v>
      </c>
      <c r="W20" s="64">
        <f t="shared" si="5"/>
        <v>59.556440619621334</v>
      </c>
      <c r="X20" s="64">
        <f t="shared" si="5"/>
        <v>0</v>
      </c>
      <c r="Y20" s="64">
        <f t="shared" si="5"/>
        <v>0</v>
      </c>
      <c r="Z20" s="64">
        <f t="shared" si="5"/>
        <v>0</v>
      </c>
      <c r="AA20" s="64">
        <f t="shared" si="5"/>
        <v>0</v>
      </c>
      <c r="AB20" s="64">
        <f>(M20*365)/(2*M16)*(2*M16)/365</f>
        <v>67.951343597834352</v>
      </c>
      <c r="AC20" s="64">
        <v>68</v>
      </c>
      <c r="AD20" s="64">
        <v>68</v>
      </c>
      <c r="AE20" s="64">
        <v>68</v>
      </c>
      <c r="AF20" s="64">
        <v>68</v>
      </c>
    </row>
    <row r="21" spans="2:32" x14ac:dyDescent="0.35">
      <c r="B21" s="3" t="s">
        <v>231</v>
      </c>
      <c r="C21" s="64">
        <f t="shared" ref="C21:AA21" si="6">C6/C17*365</f>
        <v>28.666762064524878</v>
      </c>
      <c r="D21" s="64">
        <f t="shared" si="6"/>
        <v>0</v>
      </c>
      <c r="E21" s="64">
        <f t="shared" si="6"/>
        <v>0</v>
      </c>
      <c r="F21" s="64">
        <f t="shared" si="6"/>
        <v>0</v>
      </c>
      <c r="G21" s="64">
        <f t="shared" si="6"/>
        <v>0</v>
      </c>
      <c r="H21" s="64">
        <f t="shared" si="6"/>
        <v>35.632901821566762</v>
      </c>
      <c r="I21" s="64">
        <f t="shared" si="6"/>
        <v>0</v>
      </c>
      <c r="J21" s="64">
        <f t="shared" si="6"/>
        <v>0</v>
      </c>
      <c r="K21" s="64">
        <f t="shared" si="6"/>
        <v>0</v>
      </c>
      <c r="L21" s="64">
        <f t="shared" si="6"/>
        <v>0</v>
      </c>
      <c r="M21" s="64">
        <f t="shared" si="6"/>
        <v>43.55255305555076</v>
      </c>
      <c r="N21" s="64">
        <f t="shared" si="6"/>
        <v>0</v>
      </c>
      <c r="O21" s="64">
        <f t="shared" si="6"/>
        <v>0</v>
      </c>
      <c r="P21" s="64">
        <f t="shared" si="6"/>
        <v>0</v>
      </c>
      <c r="Q21" s="64">
        <f t="shared" si="6"/>
        <v>0</v>
      </c>
      <c r="R21" s="64">
        <f t="shared" si="6"/>
        <v>49.763817798609061</v>
      </c>
      <c r="S21" s="64">
        <f t="shared" si="6"/>
        <v>0</v>
      </c>
      <c r="T21" s="64">
        <f t="shared" si="6"/>
        <v>0</v>
      </c>
      <c r="U21" s="64">
        <f t="shared" si="6"/>
        <v>0</v>
      </c>
      <c r="V21" s="64">
        <f t="shared" si="6"/>
        <v>0</v>
      </c>
      <c r="W21" s="64">
        <f t="shared" si="6"/>
        <v>42.483814123230083</v>
      </c>
      <c r="X21" s="64">
        <f t="shared" si="6"/>
        <v>0</v>
      </c>
      <c r="Y21" s="64">
        <f t="shared" si="6"/>
        <v>0</v>
      </c>
      <c r="Z21" s="64">
        <f t="shared" si="6"/>
        <v>0</v>
      </c>
      <c r="AA21" s="64">
        <f t="shared" si="6"/>
        <v>0</v>
      </c>
      <c r="AB21" s="64">
        <v>45</v>
      </c>
      <c r="AC21" s="64">
        <v>45</v>
      </c>
      <c r="AD21" s="64">
        <v>45</v>
      </c>
      <c r="AE21" s="64">
        <v>45</v>
      </c>
      <c r="AF21" s="64">
        <v>45</v>
      </c>
    </row>
    <row r="23" spans="2:32" hidden="1" outlineLevel="1" x14ac:dyDescent="0.35"/>
    <row r="24" spans="2:32" hidden="1" outlineLevel="1" x14ac:dyDescent="0.35"/>
    <row r="25" spans="2:32" hidden="1" outlineLevel="1" x14ac:dyDescent="0.35"/>
    <row r="26" spans="2:32" hidden="1" outlineLevel="1" x14ac:dyDescent="0.35"/>
    <row r="27" spans="2:32" collapsed="1" x14ac:dyDescent="0.35">
      <c r="AB27" t="s">
        <v>232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28"/>
  <sheetViews>
    <sheetView zoomScale="74" zoomScaleNormal="70" workbookViewId="0">
      <selection activeCell="B1" sqref="B1"/>
    </sheetView>
  </sheetViews>
  <sheetFormatPr defaultColWidth="8.6328125" defaultRowHeight="14.5" outlineLevelRow="1" outlineLevelCol="1" x14ac:dyDescent="0.35"/>
  <cols>
    <col min="2" max="2" width="36" customWidth="1"/>
    <col min="3" max="3" width="9.26953125" customWidth="1"/>
    <col min="4" max="7" width="9.1796875" hidden="1" customWidth="1" outlineLevel="1"/>
    <col min="8" max="8" width="9" customWidth="1" collapsed="1"/>
    <col min="9" max="12" width="9.1796875" hidden="1" customWidth="1" outlineLevel="1"/>
    <col min="13" max="13" width="8.6328125" collapsed="1"/>
    <col min="14" max="17" width="9.1796875" hidden="1" customWidth="1" outlineLevel="1"/>
    <col min="18" max="18" width="8.6328125" collapsed="1"/>
    <col min="19" max="22" width="9.1796875" hidden="1" customWidth="1" outlineLevel="1"/>
    <col min="23" max="23" width="8.6328125" collapsed="1"/>
    <col min="24" max="27" width="9.1796875" hidden="1" customWidth="1" outlineLevel="1"/>
    <col min="28" max="28" width="9.1796875" customWidth="1" collapsed="1"/>
    <col min="29" max="32" width="9.7265625" customWidth="1"/>
  </cols>
  <sheetData>
    <row r="1" spans="2:32" x14ac:dyDescent="0.35">
      <c r="B1" s="14" t="s">
        <v>19</v>
      </c>
      <c r="C1" s="15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5" t="s">
        <v>25</v>
      </c>
      <c r="I1" s="16" t="s">
        <v>26</v>
      </c>
      <c r="J1" s="16" t="s">
        <v>27</v>
      </c>
      <c r="K1" s="16" t="s">
        <v>28</v>
      </c>
      <c r="L1" s="16" t="s">
        <v>29</v>
      </c>
      <c r="M1" s="15" t="s">
        <v>30</v>
      </c>
      <c r="N1" s="16" t="s">
        <v>31</v>
      </c>
      <c r="O1" s="16" t="s">
        <v>32</v>
      </c>
      <c r="P1" s="16" t="s">
        <v>33</v>
      </c>
      <c r="Q1" s="16" t="s">
        <v>34</v>
      </c>
      <c r="R1" s="15" t="s">
        <v>35</v>
      </c>
      <c r="S1" s="16" t="s">
        <v>36</v>
      </c>
      <c r="T1" s="16" t="s">
        <v>37</v>
      </c>
      <c r="U1" s="16" t="s">
        <v>38</v>
      </c>
      <c r="V1" s="16" t="s">
        <v>39</v>
      </c>
      <c r="W1" s="15" t="s">
        <v>40</v>
      </c>
      <c r="X1" s="17" t="s">
        <v>41</v>
      </c>
      <c r="Y1" s="14" t="s">
        <v>42</v>
      </c>
      <c r="Z1" s="14" t="s">
        <v>43</v>
      </c>
      <c r="AA1" s="14" t="s">
        <v>44</v>
      </c>
      <c r="AB1" s="14" t="s">
        <v>45</v>
      </c>
      <c r="AC1" s="14" t="s">
        <v>46</v>
      </c>
      <c r="AD1" s="14" t="s">
        <v>47</v>
      </c>
      <c r="AE1" s="14" t="s">
        <v>48</v>
      </c>
      <c r="AF1" s="14" t="s">
        <v>49</v>
      </c>
    </row>
    <row r="2" spans="2:32" s="32" customFormat="1" x14ac:dyDescent="0.35">
      <c r="B2" s="33" t="s">
        <v>233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2:32" s="32" customFormat="1" x14ac:dyDescent="0.35">
      <c r="B3" s="33" t="s">
        <v>234</v>
      </c>
      <c r="C3" s="19">
        <f>'Balance Sheet'!C54</f>
        <v>463.33</v>
      </c>
      <c r="D3" s="19">
        <f>'Balance Sheet'!D54</f>
        <v>0</v>
      </c>
      <c r="E3" s="19">
        <f>'Balance Sheet'!E54</f>
        <v>0</v>
      </c>
      <c r="F3" s="19">
        <f>'Balance Sheet'!F54</f>
        <v>0</v>
      </c>
      <c r="G3" s="19">
        <f>'Balance Sheet'!G54</f>
        <v>0</v>
      </c>
      <c r="H3" s="19">
        <f>'Balance Sheet'!H54</f>
        <v>796.06</v>
      </c>
      <c r="I3" s="19">
        <f>'Balance Sheet'!I54</f>
        <v>0</v>
      </c>
      <c r="J3" s="19">
        <f>'Balance Sheet'!J54</f>
        <v>0</v>
      </c>
      <c r="K3" s="19">
        <f>'Balance Sheet'!K54</f>
        <v>0</v>
      </c>
      <c r="L3" s="19">
        <f>'Balance Sheet'!L54</f>
        <v>0</v>
      </c>
      <c r="M3" s="19">
        <f>'Balance Sheet'!M54</f>
        <v>785.1</v>
      </c>
      <c r="N3" s="19">
        <f>'Balance Sheet'!N54</f>
        <v>0</v>
      </c>
      <c r="O3" s="19">
        <f>'Balance Sheet'!O54</f>
        <v>0</v>
      </c>
      <c r="P3" s="19">
        <f>'Balance Sheet'!P54</f>
        <v>0</v>
      </c>
      <c r="Q3" s="19">
        <f>'Balance Sheet'!Q54</f>
        <v>0</v>
      </c>
      <c r="R3" s="19">
        <f>'Balance Sheet'!R54</f>
        <v>1283.48</v>
      </c>
      <c r="S3" s="19">
        <f>'Balance Sheet'!S54</f>
        <v>0</v>
      </c>
      <c r="T3" s="19">
        <f>'Balance Sheet'!T54</f>
        <v>0</v>
      </c>
      <c r="U3" s="19">
        <f>'Balance Sheet'!U54</f>
        <v>0</v>
      </c>
      <c r="V3" s="19">
        <f>'Balance Sheet'!V54</f>
        <v>0</v>
      </c>
      <c r="W3" s="19">
        <f>'Balance Sheet'!W54</f>
        <v>1042.43</v>
      </c>
      <c r="X3" s="19">
        <f>'Balance Sheet'!X54</f>
        <v>0</v>
      </c>
      <c r="Y3" s="19">
        <f>'Balance Sheet'!Y54</f>
        <v>0</v>
      </c>
      <c r="Z3" s="19">
        <f>'Balance Sheet'!Z54</f>
        <v>0</v>
      </c>
      <c r="AA3" s="19">
        <f>'Balance Sheet'!AA54</f>
        <v>0</v>
      </c>
      <c r="AB3" s="19">
        <f>AB4*AB19</f>
        <v>1090.1904725030402</v>
      </c>
      <c r="AC3" s="19">
        <f t="shared" ref="AC3:AF3" si="0">AC4*AC19</f>
        <v>1154.9162582105705</v>
      </c>
      <c r="AD3" s="19">
        <f t="shared" si="0"/>
        <v>1219.5915686703624</v>
      </c>
      <c r="AE3" s="19">
        <f t="shared" si="0"/>
        <v>1287.8886965159027</v>
      </c>
      <c r="AF3" s="19">
        <f t="shared" si="0"/>
        <v>1360.0104635207936</v>
      </c>
    </row>
    <row r="4" spans="2:32" s="45" customFormat="1" x14ac:dyDescent="0.35">
      <c r="B4" s="83" t="s">
        <v>218</v>
      </c>
      <c r="C4" s="65">
        <f>C3/C19</f>
        <v>3.3396282174185687E-3</v>
      </c>
      <c r="D4" s="65">
        <f t="shared" ref="D4:W4" si="1">D3/D19</f>
        <v>0</v>
      </c>
      <c r="E4" s="65">
        <f t="shared" si="1"/>
        <v>0</v>
      </c>
      <c r="F4" s="65">
        <f t="shared" si="1"/>
        <v>0</v>
      </c>
      <c r="G4" s="65">
        <f t="shared" si="1"/>
        <v>0</v>
      </c>
      <c r="H4" s="65">
        <f t="shared" si="1"/>
        <v>4.972950686540311E-3</v>
      </c>
      <c r="I4" s="65">
        <f t="shared" si="1"/>
        <v>0</v>
      </c>
      <c r="J4" s="65">
        <f t="shared" si="1"/>
        <v>0</v>
      </c>
      <c r="K4" s="65">
        <f t="shared" si="1"/>
        <v>0</v>
      </c>
      <c r="L4" s="65">
        <f t="shared" si="1"/>
        <v>0</v>
      </c>
      <c r="M4" s="65">
        <f t="shared" si="1"/>
        <v>4.4555804002133865E-3</v>
      </c>
      <c r="N4" s="65">
        <f t="shared" si="1"/>
        <v>0</v>
      </c>
      <c r="O4" s="65">
        <f t="shared" si="1"/>
        <v>0</v>
      </c>
      <c r="P4" s="65">
        <f t="shared" si="1"/>
        <v>0</v>
      </c>
      <c r="Q4" s="65">
        <f t="shared" si="1"/>
        <v>0</v>
      </c>
      <c r="R4" s="65">
        <f t="shared" si="1"/>
        <v>7.0803314319759043E-3</v>
      </c>
      <c r="S4" s="65">
        <f t="shared" si="1"/>
        <v>0</v>
      </c>
      <c r="T4" s="65">
        <f t="shared" si="1"/>
        <v>0</v>
      </c>
      <c r="U4" s="65">
        <f t="shared" si="1"/>
        <v>0</v>
      </c>
      <c r="V4" s="65">
        <f t="shared" si="1"/>
        <v>0</v>
      </c>
      <c r="W4" s="65">
        <f t="shared" si="1"/>
        <v>5.5206143254336029E-3</v>
      </c>
      <c r="X4" s="83"/>
      <c r="Y4" s="83"/>
      <c r="Z4" s="83"/>
      <c r="AA4" s="83"/>
      <c r="AB4" s="82">
        <v>5.4000000000000003E-3</v>
      </c>
      <c r="AC4" s="82">
        <v>5.4000000000000003E-3</v>
      </c>
      <c r="AD4" s="82">
        <v>5.4000000000000003E-3</v>
      </c>
      <c r="AE4" s="82">
        <v>5.4000000000000003E-3</v>
      </c>
      <c r="AF4" s="82">
        <v>5.4000000000000003E-3</v>
      </c>
    </row>
    <row r="5" spans="2:32" s="32" customFormat="1" x14ac:dyDescent="0.35">
      <c r="B5" s="33" t="s">
        <v>235</v>
      </c>
      <c r="C5" s="88">
        <f>C6+C7</f>
        <v>35067.550000000003</v>
      </c>
      <c r="D5" s="88">
        <f t="shared" ref="D5:W5" si="2">D6+D7</f>
        <v>0</v>
      </c>
      <c r="E5" s="88">
        <f t="shared" si="2"/>
        <v>0</v>
      </c>
      <c r="F5" s="88">
        <f t="shared" si="2"/>
        <v>0</v>
      </c>
      <c r="G5" s="88">
        <f t="shared" si="2"/>
        <v>0</v>
      </c>
      <c r="H5" s="88">
        <f t="shared" si="2"/>
        <v>40873.449999999997</v>
      </c>
      <c r="I5" s="88">
        <f t="shared" si="2"/>
        <v>0</v>
      </c>
      <c r="J5" s="88">
        <f t="shared" si="2"/>
        <v>0</v>
      </c>
      <c r="K5" s="88">
        <f t="shared" si="2"/>
        <v>0</v>
      </c>
      <c r="L5" s="88">
        <f t="shared" si="2"/>
        <v>0</v>
      </c>
      <c r="M5" s="88">
        <f t="shared" si="2"/>
        <v>41629.54</v>
      </c>
      <c r="N5" s="88">
        <f t="shared" si="2"/>
        <v>0</v>
      </c>
      <c r="O5" s="88">
        <f t="shared" si="2"/>
        <v>0</v>
      </c>
      <c r="P5" s="88">
        <f t="shared" si="2"/>
        <v>0</v>
      </c>
      <c r="Q5" s="88">
        <f t="shared" si="2"/>
        <v>0</v>
      </c>
      <c r="R5" s="88">
        <f t="shared" si="2"/>
        <v>45458.78</v>
      </c>
      <c r="S5" s="88">
        <f t="shared" si="2"/>
        <v>0</v>
      </c>
      <c r="T5" s="88">
        <f t="shared" si="2"/>
        <v>0</v>
      </c>
      <c r="U5" s="88">
        <f t="shared" si="2"/>
        <v>0</v>
      </c>
      <c r="V5" s="88">
        <f t="shared" si="2"/>
        <v>0</v>
      </c>
      <c r="W5" s="88">
        <f t="shared" si="2"/>
        <v>43559.909999999996</v>
      </c>
      <c r="X5" s="33"/>
      <c r="Y5" s="33"/>
      <c r="Z5" s="33"/>
      <c r="AA5" s="33"/>
      <c r="AB5" s="34">
        <f>AB19*AB22/365</f>
        <v>49780.386872284944</v>
      </c>
      <c r="AC5" s="34">
        <f t="shared" ref="AC5:AF5" si="3">AC19*AC22/365</f>
        <v>52735.902201395911</v>
      </c>
      <c r="AD5" s="34">
        <f t="shared" si="3"/>
        <v>55689.112724674073</v>
      </c>
      <c r="AE5" s="34">
        <f t="shared" si="3"/>
        <v>58807.703037255829</v>
      </c>
      <c r="AF5" s="34">
        <f t="shared" si="3"/>
        <v>62100.934407342167</v>
      </c>
    </row>
    <row r="6" spans="2:32" s="32" customFormat="1" ht="29" x14ac:dyDescent="0.35">
      <c r="B6" s="85" t="s">
        <v>236</v>
      </c>
      <c r="C6" s="19">
        <f>'Balance Sheet'!C56</f>
        <v>1213.83</v>
      </c>
      <c r="D6" s="19">
        <f>'Balance Sheet'!D56</f>
        <v>0</v>
      </c>
      <c r="E6" s="19">
        <f>'Balance Sheet'!E56</f>
        <v>0</v>
      </c>
      <c r="F6" s="19">
        <f>'Balance Sheet'!F56</f>
        <v>0</v>
      </c>
      <c r="G6" s="19">
        <f>'Balance Sheet'!G56</f>
        <v>0</v>
      </c>
      <c r="H6" s="19">
        <f>'Balance Sheet'!H56</f>
        <v>3369.6</v>
      </c>
      <c r="I6" s="19">
        <f>'Balance Sheet'!I56</f>
        <v>0</v>
      </c>
      <c r="J6" s="19">
        <f>'Balance Sheet'!J56</f>
        <v>0</v>
      </c>
      <c r="K6" s="19">
        <f>'Balance Sheet'!K56</f>
        <v>0</v>
      </c>
      <c r="L6" s="19">
        <f>'Balance Sheet'!L56</f>
        <v>0</v>
      </c>
      <c r="M6" s="19">
        <f>'Balance Sheet'!M56</f>
        <v>3128.01</v>
      </c>
      <c r="N6" s="19">
        <f>'Balance Sheet'!N56</f>
        <v>0</v>
      </c>
      <c r="O6" s="19">
        <f>'Balance Sheet'!O56</f>
        <v>0</v>
      </c>
      <c r="P6" s="19">
        <f>'Balance Sheet'!P56</f>
        <v>0</v>
      </c>
      <c r="Q6" s="19">
        <f>'Balance Sheet'!Q56</f>
        <v>0</v>
      </c>
      <c r="R6" s="19">
        <f>'Balance Sheet'!R56</f>
        <v>3631.39</v>
      </c>
      <c r="S6" s="19">
        <f>'Balance Sheet'!S56</f>
        <v>0</v>
      </c>
      <c r="T6" s="19">
        <f>'Balance Sheet'!T56</f>
        <v>0</v>
      </c>
      <c r="U6" s="19">
        <f>'Balance Sheet'!U56</f>
        <v>0</v>
      </c>
      <c r="V6" s="19">
        <f>'Balance Sheet'!V56</f>
        <v>0</v>
      </c>
      <c r="W6" s="19">
        <f>'Balance Sheet'!W56</f>
        <v>5606.74</v>
      </c>
      <c r="X6" s="33"/>
      <c r="Y6" s="33"/>
      <c r="Z6" s="33"/>
      <c r="AA6" s="33"/>
      <c r="AB6" s="33"/>
      <c r="AC6" s="33"/>
      <c r="AD6" s="33"/>
      <c r="AE6" s="33"/>
      <c r="AF6" s="33"/>
    </row>
    <row r="7" spans="2:32" s="32" customFormat="1" ht="43.5" x14ac:dyDescent="0.35">
      <c r="B7" s="85" t="s">
        <v>237</v>
      </c>
      <c r="C7" s="19">
        <f>'Balance Sheet'!C57</f>
        <v>33853.72</v>
      </c>
      <c r="D7" s="19">
        <f>'Balance Sheet'!D57</f>
        <v>0</v>
      </c>
      <c r="E7" s="19">
        <f>'Balance Sheet'!E57</f>
        <v>0</v>
      </c>
      <c r="F7" s="19">
        <f>'Balance Sheet'!F57</f>
        <v>0</v>
      </c>
      <c r="G7" s="19">
        <f>'Balance Sheet'!G57</f>
        <v>0</v>
      </c>
      <c r="H7" s="19">
        <f>'Balance Sheet'!H57</f>
        <v>37503.85</v>
      </c>
      <c r="I7" s="19">
        <f>'Balance Sheet'!I57</f>
        <v>0</v>
      </c>
      <c r="J7" s="19">
        <f>'Balance Sheet'!J57</f>
        <v>0</v>
      </c>
      <c r="K7" s="19">
        <f>'Balance Sheet'!K57</f>
        <v>0</v>
      </c>
      <c r="L7" s="19">
        <f>'Balance Sheet'!L57</f>
        <v>0</v>
      </c>
      <c r="M7" s="19">
        <f>'Balance Sheet'!M57</f>
        <v>38501.53</v>
      </c>
      <c r="N7" s="19">
        <f>'Balance Sheet'!N57</f>
        <v>0</v>
      </c>
      <c r="O7" s="19">
        <f>'Balance Sheet'!O57</f>
        <v>0</v>
      </c>
      <c r="P7" s="19">
        <f>'Balance Sheet'!P57</f>
        <v>0</v>
      </c>
      <c r="Q7" s="19">
        <f>'Balance Sheet'!Q57</f>
        <v>0</v>
      </c>
      <c r="R7" s="19">
        <f>'Balance Sheet'!R57</f>
        <v>41827.39</v>
      </c>
      <c r="S7" s="19">
        <f>'Balance Sheet'!S57</f>
        <v>0</v>
      </c>
      <c r="T7" s="19">
        <f>'Balance Sheet'!T57</f>
        <v>0</v>
      </c>
      <c r="U7" s="19">
        <f>'Balance Sheet'!U57</f>
        <v>0</v>
      </c>
      <c r="V7" s="19">
        <f>'Balance Sheet'!V57</f>
        <v>0</v>
      </c>
      <c r="W7" s="19">
        <f>'Balance Sheet'!W57</f>
        <v>37953.17</v>
      </c>
      <c r="X7" s="33"/>
      <c r="Y7" s="33"/>
      <c r="Z7" s="33"/>
      <c r="AA7" s="33"/>
      <c r="AB7" s="33"/>
      <c r="AC7" s="33"/>
      <c r="AD7" s="33"/>
      <c r="AE7" s="33"/>
      <c r="AF7" s="33"/>
    </row>
    <row r="8" spans="2:32" s="32" customFormat="1" x14ac:dyDescent="0.35">
      <c r="B8" s="33" t="s">
        <v>238</v>
      </c>
      <c r="C8" s="19">
        <f>'Balance Sheet'!C58</f>
        <v>5632.76</v>
      </c>
      <c r="D8" s="19">
        <f>'Balance Sheet'!D58</f>
        <v>0</v>
      </c>
      <c r="E8" s="19">
        <f>'Balance Sheet'!E58</f>
        <v>0</v>
      </c>
      <c r="F8" s="19">
        <f>'Balance Sheet'!F58</f>
        <v>0</v>
      </c>
      <c r="G8" s="19">
        <f>'Balance Sheet'!G58</f>
        <v>0</v>
      </c>
      <c r="H8" s="19">
        <f>'Balance Sheet'!H58</f>
        <v>4644.6400000000003</v>
      </c>
      <c r="I8" s="19">
        <f>'Balance Sheet'!I58</f>
        <v>0</v>
      </c>
      <c r="J8" s="19">
        <f>'Balance Sheet'!J58</f>
        <v>0</v>
      </c>
      <c r="K8" s="19">
        <f>'Balance Sheet'!K58</f>
        <v>0</v>
      </c>
      <c r="L8" s="19">
        <f>'Balance Sheet'!L58</f>
        <v>0</v>
      </c>
      <c r="M8" s="19">
        <f>'Balance Sheet'!M58</f>
        <v>5133.59</v>
      </c>
      <c r="N8" s="19">
        <f>'Balance Sheet'!N58</f>
        <v>0</v>
      </c>
      <c r="O8" s="19">
        <f>'Balance Sheet'!O58</f>
        <v>0</v>
      </c>
      <c r="P8" s="19">
        <f>'Balance Sheet'!P58</f>
        <v>0</v>
      </c>
      <c r="Q8" s="19">
        <f>'Balance Sheet'!Q58</f>
        <v>0</v>
      </c>
      <c r="R8" s="19">
        <f>'Balance Sheet'!R58</f>
        <v>5670.62</v>
      </c>
      <c r="S8" s="19">
        <f>'Balance Sheet'!S58</f>
        <v>0</v>
      </c>
      <c r="T8" s="19">
        <f>'Balance Sheet'!T58</f>
        <v>0</v>
      </c>
      <c r="U8" s="19">
        <f>'Balance Sheet'!U58</f>
        <v>0</v>
      </c>
      <c r="V8" s="19">
        <f>'Balance Sheet'!V58</f>
        <v>0</v>
      </c>
      <c r="W8" s="19">
        <f>'Balance Sheet'!W58</f>
        <v>12578.92</v>
      </c>
      <c r="X8" s="33"/>
      <c r="Y8" s="33"/>
      <c r="Z8" s="33"/>
      <c r="AA8" s="33"/>
      <c r="AB8" s="34">
        <f>AB9*AB19</f>
        <v>10094.356226880001</v>
      </c>
      <c r="AC8" s="34">
        <f t="shared" ref="AC8:AF8" si="4">AC9*AC19</f>
        <v>10693.669057505282</v>
      </c>
      <c r="AD8" s="34">
        <f t="shared" si="4"/>
        <v>11292.514524725579</v>
      </c>
      <c r="AE8" s="34">
        <f t="shared" si="4"/>
        <v>11924.895338110211</v>
      </c>
      <c r="AF8" s="34">
        <f t="shared" si="4"/>
        <v>12592.689477044383</v>
      </c>
    </row>
    <row r="9" spans="2:32" s="45" customFormat="1" x14ac:dyDescent="0.35">
      <c r="B9" s="83" t="s">
        <v>218</v>
      </c>
      <c r="C9" s="83">
        <f>C8/C19</f>
        <v>4.0600272457960024E-2</v>
      </c>
      <c r="D9" s="83">
        <f t="shared" ref="D9:W9" si="5">D8/D19</f>
        <v>0</v>
      </c>
      <c r="E9" s="83">
        <f t="shared" si="5"/>
        <v>0</v>
      </c>
      <c r="F9" s="83">
        <f t="shared" si="5"/>
        <v>0</v>
      </c>
      <c r="G9" s="83">
        <f t="shared" si="5"/>
        <v>0</v>
      </c>
      <c r="H9" s="83">
        <f t="shared" si="5"/>
        <v>2.9014855258061696E-2</v>
      </c>
      <c r="I9" s="83">
        <f t="shared" si="5"/>
        <v>0</v>
      </c>
      <c r="J9" s="83">
        <f t="shared" si="5"/>
        <v>0</v>
      </c>
      <c r="K9" s="83">
        <f t="shared" si="5"/>
        <v>0</v>
      </c>
      <c r="L9" s="83">
        <f t="shared" si="5"/>
        <v>0</v>
      </c>
      <c r="M9" s="83">
        <f t="shared" si="5"/>
        <v>2.9134024948072143E-2</v>
      </c>
      <c r="N9" s="83">
        <f t="shared" si="5"/>
        <v>0</v>
      </c>
      <c r="O9" s="83">
        <f t="shared" si="5"/>
        <v>0</v>
      </c>
      <c r="P9" s="83">
        <f t="shared" si="5"/>
        <v>0</v>
      </c>
      <c r="Q9" s="83">
        <f t="shared" si="5"/>
        <v>0</v>
      </c>
      <c r="R9" s="83">
        <f t="shared" si="5"/>
        <v>3.1282037137151497E-2</v>
      </c>
      <c r="S9" s="83">
        <f t="shared" si="5"/>
        <v>0</v>
      </c>
      <c r="T9" s="83">
        <f t="shared" si="5"/>
        <v>0</v>
      </c>
      <c r="U9" s="83">
        <f t="shared" si="5"/>
        <v>0</v>
      </c>
      <c r="V9" s="83">
        <f t="shared" si="5"/>
        <v>0</v>
      </c>
      <c r="W9" s="83">
        <f t="shared" si="5"/>
        <v>6.661681451079042E-2</v>
      </c>
      <c r="X9" s="83"/>
      <c r="Y9" s="83"/>
      <c r="Z9" s="83"/>
      <c r="AA9" s="83"/>
      <c r="AB9" s="82">
        <v>0.05</v>
      </c>
      <c r="AC9" s="82">
        <v>0.05</v>
      </c>
      <c r="AD9" s="82">
        <v>0.05</v>
      </c>
      <c r="AE9" s="82">
        <v>0.05</v>
      </c>
      <c r="AF9" s="82">
        <v>0.05</v>
      </c>
    </row>
    <row r="10" spans="2:32" s="32" customFormat="1" x14ac:dyDescent="0.35">
      <c r="B10" s="33" t="s">
        <v>239</v>
      </c>
      <c r="C10" s="19">
        <f>'Balance Sheet'!C61</f>
        <v>2369.56</v>
      </c>
      <c r="D10" s="19">
        <f>'Balance Sheet'!D61</f>
        <v>0</v>
      </c>
      <c r="E10" s="19">
        <f>'Balance Sheet'!E61</f>
        <v>0</v>
      </c>
      <c r="F10" s="19">
        <f>'Balance Sheet'!F61</f>
        <v>0</v>
      </c>
      <c r="G10" s="19">
        <f>'Balance Sheet'!G61</f>
        <v>0</v>
      </c>
      <c r="H10" s="19">
        <f>'Balance Sheet'!H61</f>
        <v>1702.04</v>
      </c>
      <c r="I10" s="19">
        <f>'Balance Sheet'!I61</f>
        <v>0</v>
      </c>
      <c r="J10" s="19">
        <f>'Balance Sheet'!J61</f>
        <v>0</v>
      </c>
      <c r="K10" s="19">
        <f>'Balance Sheet'!K61</f>
        <v>0</v>
      </c>
      <c r="L10" s="19">
        <f>'Balance Sheet'!L61</f>
        <v>0</v>
      </c>
      <c r="M10" s="19">
        <f>'Balance Sheet'!M61</f>
        <v>2565.13</v>
      </c>
      <c r="N10" s="19">
        <f>'Balance Sheet'!N61</f>
        <v>0</v>
      </c>
      <c r="O10" s="19">
        <f>'Balance Sheet'!O61</f>
        <v>0</v>
      </c>
      <c r="P10" s="19">
        <f>'Balance Sheet'!P61</f>
        <v>0</v>
      </c>
      <c r="Q10" s="19">
        <f>'Balance Sheet'!Q61</f>
        <v>0</v>
      </c>
      <c r="R10" s="19">
        <f>'Balance Sheet'!R61</f>
        <v>2441.36</v>
      </c>
      <c r="S10" s="19">
        <f>'Balance Sheet'!S61</f>
        <v>0</v>
      </c>
      <c r="T10" s="19">
        <f>'Balance Sheet'!T61</f>
        <v>0</v>
      </c>
      <c r="U10" s="19">
        <f>'Balance Sheet'!U61</f>
        <v>0</v>
      </c>
      <c r="V10" s="19">
        <f>'Balance Sheet'!V61</f>
        <v>0</v>
      </c>
      <c r="W10" s="19">
        <f>'Balance Sheet'!W61</f>
        <v>1783.41</v>
      </c>
      <c r="X10" s="33"/>
      <c r="Y10" s="33"/>
      <c r="Z10" s="33"/>
      <c r="AA10" s="33"/>
      <c r="AB10" s="34">
        <f>AB11*AB19</f>
        <v>2018.8712453760004</v>
      </c>
      <c r="AC10" s="34">
        <f t="shared" ref="AC10:AF10" si="6">AC11*AC19</f>
        <v>2138.7338115010562</v>
      </c>
      <c r="AD10" s="34">
        <f t="shared" si="6"/>
        <v>2258.5029049451155</v>
      </c>
      <c r="AE10" s="34">
        <f t="shared" si="6"/>
        <v>2384.9790676220418</v>
      </c>
      <c r="AF10" s="34">
        <f t="shared" si="6"/>
        <v>2518.5378954088769</v>
      </c>
    </row>
    <row r="11" spans="2:32" s="38" customFormat="1" x14ac:dyDescent="0.35">
      <c r="B11" s="65" t="s">
        <v>218</v>
      </c>
      <c r="C11" s="65">
        <f>C10/C19</f>
        <v>1.7079510152302559E-2</v>
      </c>
      <c r="D11" s="65">
        <f t="shared" ref="D11:W11" si="7">D10/D19</f>
        <v>0</v>
      </c>
      <c r="E11" s="65">
        <f t="shared" si="7"/>
        <v>0</v>
      </c>
      <c r="F11" s="65">
        <f t="shared" si="7"/>
        <v>0</v>
      </c>
      <c r="G11" s="65">
        <f t="shared" si="7"/>
        <v>0</v>
      </c>
      <c r="H11" s="65">
        <f t="shared" si="7"/>
        <v>1.0632566623770911E-2</v>
      </c>
      <c r="I11" s="65">
        <f t="shared" si="7"/>
        <v>0</v>
      </c>
      <c r="J11" s="65">
        <f t="shared" si="7"/>
        <v>0</v>
      </c>
      <c r="K11" s="65">
        <f t="shared" si="7"/>
        <v>0</v>
      </c>
      <c r="L11" s="65">
        <f t="shared" si="7"/>
        <v>0</v>
      </c>
      <c r="M11" s="65">
        <f t="shared" si="7"/>
        <v>1.4557563306584339E-2</v>
      </c>
      <c r="N11" s="65">
        <f t="shared" si="7"/>
        <v>0</v>
      </c>
      <c r="O11" s="65">
        <f t="shared" si="7"/>
        <v>0</v>
      </c>
      <c r="P11" s="65">
        <f t="shared" si="7"/>
        <v>0</v>
      </c>
      <c r="Q11" s="65">
        <f t="shared" si="7"/>
        <v>0</v>
      </c>
      <c r="R11" s="65">
        <f t="shared" si="7"/>
        <v>1.3467789092754616E-2</v>
      </c>
      <c r="S11" s="65">
        <f t="shared" si="7"/>
        <v>0</v>
      </c>
      <c r="T11" s="65">
        <f t="shared" si="7"/>
        <v>0</v>
      </c>
      <c r="U11" s="65">
        <f t="shared" si="7"/>
        <v>0</v>
      </c>
      <c r="V11" s="65">
        <f t="shared" si="7"/>
        <v>0</v>
      </c>
      <c r="W11" s="65">
        <f t="shared" si="7"/>
        <v>9.444776909837152E-3</v>
      </c>
      <c r="X11" s="65"/>
      <c r="Y11" s="65"/>
      <c r="Z11" s="65"/>
      <c r="AA11" s="65"/>
      <c r="AB11" s="82">
        <v>0.01</v>
      </c>
      <c r="AC11" s="82">
        <v>0.01</v>
      </c>
      <c r="AD11" s="82">
        <v>0.01</v>
      </c>
      <c r="AE11" s="82">
        <v>0.01</v>
      </c>
      <c r="AF11" s="82">
        <v>0.01</v>
      </c>
    </row>
    <row r="12" spans="2:32" s="32" customFormat="1" x14ac:dyDescent="0.35">
      <c r="B12" s="33" t="s">
        <v>125</v>
      </c>
      <c r="C12" s="19">
        <f>'Balance Sheet'!C60</f>
        <v>14284.79</v>
      </c>
      <c r="D12" s="19">
        <f>'Balance Sheet'!D60</f>
        <v>0</v>
      </c>
      <c r="E12" s="19">
        <f>'Balance Sheet'!E60</f>
        <v>0</v>
      </c>
      <c r="F12" s="19">
        <f>'Balance Sheet'!F60</f>
        <v>0</v>
      </c>
      <c r="G12" s="19">
        <f>'Balance Sheet'!G60</f>
        <v>0</v>
      </c>
      <c r="H12" s="19">
        <f>'Balance Sheet'!H60</f>
        <v>14641.92</v>
      </c>
      <c r="I12" s="19">
        <f>'Balance Sheet'!I60</f>
        <v>0</v>
      </c>
      <c r="J12" s="19">
        <f>'Balance Sheet'!J60</f>
        <v>0</v>
      </c>
      <c r="K12" s="19">
        <f>'Balance Sheet'!K60</f>
        <v>0</v>
      </c>
      <c r="L12" s="19">
        <f>'Balance Sheet'!L60</f>
        <v>0</v>
      </c>
      <c r="M12" s="19">
        <f>'Balance Sheet'!M60</f>
        <v>11899.69</v>
      </c>
      <c r="N12" s="19">
        <f>'Balance Sheet'!N60</f>
        <v>0</v>
      </c>
      <c r="O12" s="19">
        <f>'Balance Sheet'!O60</f>
        <v>0</v>
      </c>
      <c r="P12" s="19">
        <f>'Balance Sheet'!P60</f>
        <v>0</v>
      </c>
      <c r="Q12" s="19">
        <f>'Balance Sheet'!Q60</f>
        <v>0</v>
      </c>
      <c r="R12" s="19">
        <f>'Balance Sheet'!R60</f>
        <v>11028.83</v>
      </c>
      <c r="S12" s="19">
        <f>'Balance Sheet'!S60</f>
        <v>0</v>
      </c>
      <c r="T12" s="19">
        <f>'Balance Sheet'!T60</f>
        <v>0</v>
      </c>
      <c r="U12" s="19">
        <f>'Balance Sheet'!U60</f>
        <v>0</v>
      </c>
      <c r="V12" s="19">
        <f>'Balance Sheet'!V60</f>
        <v>0</v>
      </c>
      <c r="W12" s="19">
        <f>'Balance Sheet'!W60</f>
        <v>8532.3799999999992</v>
      </c>
      <c r="X12" s="33"/>
      <c r="Y12" s="33"/>
      <c r="Z12" s="33"/>
      <c r="AA12" s="33"/>
      <c r="AB12" s="34">
        <f>AB13*AB19</f>
        <v>10094.356226880001</v>
      </c>
      <c r="AC12" s="34">
        <f t="shared" ref="AC12:AF12" si="8">AC13*AC19</f>
        <v>10693.669057505282</v>
      </c>
      <c r="AD12" s="34">
        <f t="shared" si="8"/>
        <v>11292.514524725579</v>
      </c>
      <c r="AE12" s="34">
        <f t="shared" si="8"/>
        <v>11924.895338110211</v>
      </c>
      <c r="AF12" s="34">
        <f t="shared" si="8"/>
        <v>12592.689477044383</v>
      </c>
    </row>
    <row r="13" spans="2:32" s="45" customFormat="1" x14ac:dyDescent="0.35">
      <c r="B13" s="83" t="s">
        <v>218</v>
      </c>
      <c r="C13" s="83">
        <f>C12/C19</f>
        <v>0.10296308843351089</v>
      </c>
      <c r="D13" s="83">
        <f t="shared" ref="D13:W13" si="9">D12/D19</f>
        <v>0</v>
      </c>
      <c r="E13" s="83">
        <f t="shared" si="9"/>
        <v>0</v>
      </c>
      <c r="F13" s="83">
        <f t="shared" si="9"/>
        <v>0</v>
      </c>
      <c r="G13" s="83">
        <f t="shared" si="9"/>
        <v>0</v>
      </c>
      <c r="H13" s="83">
        <f t="shared" si="9"/>
        <v>9.1467409637801575E-2</v>
      </c>
      <c r="I13" s="83">
        <f t="shared" si="9"/>
        <v>0</v>
      </c>
      <c r="J13" s="83">
        <f t="shared" si="9"/>
        <v>0</v>
      </c>
      <c r="K13" s="83">
        <f t="shared" si="9"/>
        <v>0</v>
      </c>
      <c r="L13" s="83">
        <f t="shared" si="9"/>
        <v>0</v>
      </c>
      <c r="M13" s="83">
        <f t="shared" si="9"/>
        <v>6.7532830891116086E-2</v>
      </c>
      <c r="N13" s="83">
        <f t="shared" si="9"/>
        <v>0</v>
      </c>
      <c r="O13" s="83">
        <f t="shared" si="9"/>
        <v>0</v>
      </c>
      <c r="P13" s="83">
        <f t="shared" si="9"/>
        <v>0</v>
      </c>
      <c r="Q13" s="83">
        <f t="shared" si="9"/>
        <v>0</v>
      </c>
      <c r="R13" s="83">
        <f t="shared" si="9"/>
        <v>6.0840661098668314E-2</v>
      </c>
      <c r="S13" s="83">
        <f t="shared" si="9"/>
        <v>0</v>
      </c>
      <c r="T13" s="83">
        <f t="shared" si="9"/>
        <v>0</v>
      </c>
      <c r="U13" s="83">
        <f t="shared" si="9"/>
        <v>0</v>
      </c>
      <c r="V13" s="83">
        <f t="shared" si="9"/>
        <v>0</v>
      </c>
      <c r="W13" s="83">
        <f t="shared" si="9"/>
        <v>4.5186707268634975E-2</v>
      </c>
      <c r="X13" s="83"/>
      <c r="Y13" s="83"/>
      <c r="Z13" s="83"/>
      <c r="AA13" s="83"/>
      <c r="AB13" s="82">
        <v>0.05</v>
      </c>
      <c r="AC13" s="82">
        <v>0.05</v>
      </c>
      <c r="AD13" s="82">
        <v>0.05</v>
      </c>
      <c r="AE13" s="82">
        <v>0.05</v>
      </c>
      <c r="AF13" s="82">
        <v>0.05</v>
      </c>
    </row>
    <row r="14" spans="2:32" s="32" customFormat="1" x14ac:dyDescent="0.35">
      <c r="B14" s="33" t="s">
        <v>240</v>
      </c>
      <c r="C14" s="19">
        <f>'Balance Sheet'!C59</f>
        <v>3008.24</v>
      </c>
      <c r="D14" s="19">
        <f>'Balance Sheet'!D59</f>
        <v>0</v>
      </c>
      <c r="E14" s="19">
        <f>'Balance Sheet'!E59</f>
        <v>0</v>
      </c>
      <c r="F14" s="19">
        <f>'Balance Sheet'!F59</f>
        <v>0</v>
      </c>
      <c r="G14" s="19">
        <f>'Balance Sheet'!G59</f>
        <v>0</v>
      </c>
      <c r="H14" s="19">
        <f>'Balance Sheet'!H59</f>
        <v>2543.2199999999998</v>
      </c>
      <c r="I14" s="19">
        <f>'Balance Sheet'!I59</f>
        <v>0</v>
      </c>
      <c r="J14" s="19">
        <f>'Balance Sheet'!J59</f>
        <v>0</v>
      </c>
      <c r="K14" s="19">
        <f>'Balance Sheet'!K59</f>
        <v>0</v>
      </c>
      <c r="L14" s="19">
        <f>'Balance Sheet'!L59</f>
        <v>0</v>
      </c>
      <c r="M14" s="19">
        <f>'Balance Sheet'!M59</f>
        <v>3014.65</v>
      </c>
      <c r="N14" s="19">
        <f>'Balance Sheet'!N59</f>
        <v>0</v>
      </c>
      <c r="O14" s="19">
        <f>'Balance Sheet'!O59</f>
        <v>0</v>
      </c>
      <c r="P14" s="19">
        <f>'Balance Sheet'!P59</f>
        <v>0</v>
      </c>
      <c r="Q14" s="19">
        <f>'Balance Sheet'!Q59</f>
        <v>0</v>
      </c>
      <c r="R14" s="19">
        <f>'Balance Sheet'!R59</f>
        <v>3430.67</v>
      </c>
      <c r="S14" s="19">
        <f>'Balance Sheet'!S59</f>
        <v>0</v>
      </c>
      <c r="T14" s="19">
        <f>'Balance Sheet'!T59</f>
        <v>0</v>
      </c>
      <c r="U14" s="19">
        <f>'Balance Sheet'!U59</f>
        <v>0</v>
      </c>
      <c r="V14" s="19">
        <f>'Balance Sheet'!V59</f>
        <v>0</v>
      </c>
      <c r="W14" s="19">
        <f>'Balance Sheet'!W59</f>
        <v>4229.3999999999996</v>
      </c>
      <c r="X14" s="33"/>
      <c r="Y14" s="33"/>
      <c r="Z14" s="33"/>
      <c r="AA14" s="33"/>
      <c r="AB14" s="34">
        <f>AB15*AB19</f>
        <v>4037.7424907520008</v>
      </c>
      <c r="AC14" s="34">
        <f t="shared" ref="AC14:AF14" si="10">AC15*AC19</f>
        <v>4277.4676230021123</v>
      </c>
      <c r="AD14" s="34">
        <f t="shared" si="10"/>
        <v>4517.0058098902309</v>
      </c>
      <c r="AE14" s="34">
        <f t="shared" si="10"/>
        <v>4769.9581352440837</v>
      </c>
      <c r="AF14" s="34">
        <f t="shared" si="10"/>
        <v>5037.0757908177538</v>
      </c>
    </row>
    <row r="15" spans="2:32" s="45" customFormat="1" x14ac:dyDescent="0.35">
      <c r="B15" s="83" t="s">
        <v>218</v>
      </c>
      <c r="C15" s="83">
        <f>C14/C19</f>
        <v>2.1683040573170817E-2</v>
      </c>
      <c r="D15" s="83">
        <f t="shared" ref="D15:W15" si="11">D14/D19</f>
        <v>0</v>
      </c>
      <c r="E15" s="83">
        <f t="shared" si="11"/>
        <v>0</v>
      </c>
      <c r="F15" s="83">
        <f t="shared" si="11"/>
        <v>0</v>
      </c>
      <c r="G15" s="83">
        <f t="shared" si="11"/>
        <v>0</v>
      </c>
      <c r="H15" s="83">
        <f t="shared" si="11"/>
        <v>1.5887379902297629E-2</v>
      </c>
      <c r="I15" s="83">
        <f t="shared" si="11"/>
        <v>0</v>
      </c>
      <c r="J15" s="83">
        <f t="shared" si="11"/>
        <v>0</v>
      </c>
      <c r="K15" s="83">
        <f t="shared" si="11"/>
        <v>0</v>
      </c>
      <c r="L15" s="83">
        <f t="shared" si="11"/>
        <v>0</v>
      </c>
      <c r="M15" s="83">
        <f t="shared" si="11"/>
        <v>1.710866826328275E-2</v>
      </c>
      <c r="N15" s="83">
        <f t="shared" si="11"/>
        <v>0</v>
      </c>
      <c r="O15" s="83">
        <f t="shared" si="11"/>
        <v>0</v>
      </c>
      <c r="P15" s="83">
        <f t="shared" si="11"/>
        <v>0</v>
      </c>
      <c r="Q15" s="83">
        <f t="shared" si="11"/>
        <v>0</v>
      </c>
      <c r="R15" s="83">
        <f t="shared" si="11"/>
        <v>1.8925328508225116E-2</v>
      </c>
      <c r="S15" s="83">
        <f t="shared" si="11"/>
        <v>0</v>
      </c>
      <c r="T15" s="83">
        <f t="shared" si="11"/>
        <v>0</v>
      </c>
      <c r="U15" s="83">
        <f t="shared" si="11"/>
        <v>0</v>
      </c>
      <c r="V15" s="83">
        <f t="shared" si="11"/>
        <v>0</v>
      </c>
      <c r="W15" s="83">
        <f t="shared" si="11"/>
        <v>2.2398517145505094E-2</v>
      </c>
      <c r="X15" s="83"/>
      <c r="Y15" s="83"/>
      <c r="Z15" s="83"/>
      <c r="AA15" s="83"/>
      <c r="AB15" s="82">
        <v>0.02</v>
      </c>
      <c r="AC15" s="82">
        <v>0.02</v>
      </c>
      <c r="AD15" s="82">
        <v>0.02</v>
      </c>
      <c r="AE15" s="82">
        <v>0.02</v>
      </c>
      <c r="AF15" s="82">
        <v>0.02</v>
      </c>
    </row>
    <row r="16" spans="2:32" s="20" customFormat="1" ht="29" x14ac:dyDescent="0.35">
      <c r="B16" s="86" t="s">
        <v>241</v>
      </c>
      <c r="C16" s="43">
        <f>C14+C12+C10+C8+C7+C6+C3</f>
        <v>60826.23</v>
      </c>
      <c r="D16" s="43">
        <f t="shared" ref="D16:AF16" si="12">D14+D12+D10+D8+D7+D6+D3</f>
        <v>0</v>
      </c>
      <c r="E16" s="43">
        <f t="shared" si="12"/>
        <v>0</v>
      </c>
      <c r="F16" s="43">
        <f t="shared" si="12"/>
        <v>0</v>
      </c>
      <c r="G16" s="43">
        <f t="shared" si="12"/>
        <v>0</v>
      </c>
      <c r="H16" s="43">
        <f t="shared" si="12"/>
        <v>65201.329999999994</v>
      </c>
      <c r="I16" s="43">
        <f t="shared" si="12"/>
        <v>0</v>
      </c>
      <c r="J16" s="43">
        <f t="shared" si="12"/>
        <v>0</v>
      </c>
      <c r="K16" s="43">
        <f t="shared" si="12"/>
        <v>0</v>
      </c>
      <c r="L16" s="43">
        <f t="shared" si="12"/>
        <v>0</v>
      </c>
      <c r="M16" s="43">
        <f t="shared" si="12"/>
        <v>65027.7</v>
      </c>
      <c r="N16" s="43">
        <f t="shared" si="12"/>
        <v>0</v>
      </c>
      <c r="O16" s="43">
        <f t="shared" si="12"/>
        <v>0</v>
      </c>
      <c r="P16" s="43">
        <f t="shared" si="12"/>
        <v>0</v>
      </c>
      <c r="Q16" s="43">
        <f t="shared" si="12"/>
        <v>0</v>
      </c>
      <c r="R16" s="43">
        <f t="shared" si="12"/>
        <v>69313.739999999991</v>
      </c>
      <c r="S16" s="43">
        <f t="shared" si="12"/>
        <v>0</v>
      </c>
      <c r="T16" s="43">
        <f t="shared" si="12"/>
        <v>0</v>
      </c>
      <c r="U16" s="43">
        <f t="shared" si="12"/>
        <v>0</v>
      </c>
      <c r="V16" s="43">
        <f t="shared" si="12"/>
        <v>0</v>
      </c>
      <c r="W16" s="43">
        <f t="shared" si="12"/>
        <v>71726.45</v>
      </c>
      <c r="X16" s="43">
        <f t="shared" si="12"/>
        <v>0</v>
      </c>
      <c r="Y16" s="43">
        <f t="shared" si="12"/>
        <v>0</v>
      </c>
      <c r="Z16" s="43">
        <f t="shared" si="12"/>
        <v>0</v>
      </c>
      <c r="AA16" s="43">
        <f t="shared" si="12"/>
        <v>0</v>
      </c>
      <c r="AB16" s="43">
        <f t="shared" si="12"/>
        <v>27335.516662391041</v>
      </c>
      <c r="AC16" s="43">
        <f t="shared" si="12"/>
        <v>28958.455807724302</v>
      </c>
      <c r="AD16" s="43">
        <f t="shared" si="12"/>
        <v>30580.129332956865</v>
      </c>
      <c r="AE16" s="43">
        <f t="shared" si="12"/>
        <v>32292.616575602449</v>
      </c>
      <c r="AF16" s="43">
        <f t="shared" si="12"/>
        <v>34101.003103836192</v>
      </c>
    </row>
    <row r="17" spans="2:32" s="32" customFormat="1" x14ac:dyDescent="0.35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</row>
    <row r="18" spans="2:32" s="32" customFormat="1" x14ac:dyDescent="0.35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</row>
    <row r="19" spans="2:32" s="13" customFormat="1" x14ac:dyDescent="0.35">
      <c r="B19" s="17" t="s">
        <v>61</v>
      </c>
      <c r="C19" s="56">
        <f>'Income Statement'!C14</f>
        <v>138737</v>
      </c>
      <c r="D19" s="56">
        <f>'Income Statement'!D14</f>
        <v>33448</v>
      </c>
      <c r="E19" s="56">
        <f>'Income Statement'!E14</f>
        <v>35170</v>
      </c>
      <c r="F19" s="56">
        <f>'Income Statement'!F14</f>
        <v>47524</v>
      </c>
      <c r="G19" s="56">
        <f>'Income Statement'!G14</f>
        <v>43936</v>
      </c>
      <c r="H19" s="56">
        <f>'Income Statement'!H14</f>
        <v>160078</v>
      </c>
      <c r="I19" s="56">
        <f>'Income Statement'!I14</f>
        <v>42737</v>
      </c>
      <c r="J19" s="56">
        <f>'Income Statement'!J14</f>
        <v>41305</v>
      </c>
      <c r="K19" s="56">
        <f>'Income Statement'!K14</f>
        <v>48879</v>
      </c>
      <c r="L19" s="56">
        <f>'Income Statement'!L14</f>
        <v>43783</v>
      </c>
      <c r="M19" s="56">
        <f>'Income Statement'!M14</f>
        <v>176206</v>
      </c>
      <c r="N19" s="56">
        <f>'Income Statement'!N14</f>
        <v>43746</v>
      </c>
      <c r="O19" s="56">
        <f>'Income Statement'!O14</f>
        <v>41311</v>
      </c>
      <c r="P19" s="56">
        <f>'Income Statement'!P14</f>
        <v>47694</v>
      </c>
      <c r="Q19" s="56">
        <f>'Income Statement'!Q14</f>
        <v>48514</v>
      </c>
      <c r="R19" s="56">
        <f>'Income Statement'!R14</f>
        <v>181274</v>
      </c>
      <c r="S19" s="56">
        <f>'Income Statement'!S14</f>
        <v>47666</v>
      </c>
      <c r="T19" s="56">
        <f>'Income Statement'!T14</f>
        <v>40674</v>
      </c>
      <c r="U19" s="56">
        <f>'Income Statement'!U14</f>
        <v>48754</v>
      </c>
      <c r="V19" s="56">
        <f>'Income Statement'!V14</f>
        <v>51731</v>
      </c>
      <c r="W19" s="56">
        <f>'Income Statement'!W14</f>
        <v>188825</v>
      </c>
      <c r="X19" s="56">
        <f>'Income Statement'!X14</f>
        <v>45621</v>
      </c>
      <c r="Y19" s="56">
        <f>'Income Statement'!Y14</f>
        <v>48142.255392000006</v>
      </c>
      <c r="Z19" s="56">
        <f>'Income Statement'!Z14</f>
        <v>56178.367660800002</v>
      </c>
      <c r="AA19" s="56">
        <f>'Income Statement'!AA14</f>
        <v>51945.501484799999</v>
      </c>
      <c r="AB19" s="56">
        <f>'Income Statement'!AB14</f>
        <v>201887.12453760003</v>
      </c>
      <c r="AC19" s="56">
        <f>'Income Statement'!AC14</f>
        <v>213873.38115010562</v>
      </c>
      <c r="AD19" s="56">
        <f>'Income Statement'!AD14</f>
        <v>225850.29049451154</v>
      </c>
      <c r="AE19" s="56">
        <f>'Income Statement'!AE14</f>
        <v>238497.90676220419</v>
      </c>
      <c r="AF19" s="56">
        <f>'Income Statement'!AF14</f>
        <v>251853.78954088766</v>
      </c>
    </row>
    <row r="20" spans="2:32" s="13" customFormat="1" x14ac:dyDescent="0.35">
      <c r="B20" s="17" t="s">
        <v>53</v>
      </c>
      <c r="C20" s="56">
        <f>'Income Statement'!C5</f>
        <v>295080</v>
      </c>
      <c r="D20" s="56">
        <f>'Income Statement'!D5</f>
        <v>67167</v>
      </c>
      <c r="E20" s="56">
        <f>'Income Statement'!E5</f>
        <v>82645</v>
      </c>
      <c r="F20" s="56">
        <f>'Income Statement'!F5</f>
        <v>98848</v>
      </c>
      <c r="G20" s="56">
        <f>'Income Statement'!G5</f>
        <v>80068</v>
      </c>
      <c r="H20" s="56">
        <f>'Income Statement'!H5</f>
        <v>328728</v>
      </c>
      <c r="I20" s="56">
        <f>'Income Statement'!I5</f>
        <v>77964</v>
      </c>
      <c r="J20" s="56">
        <f>'Income Statement'!J5</f>
        <v>85574</v>
      </c>
      <c r="K20" s="56">
        <f>'Income Statement'!K5</f>
        <v>98958</v>
      </c>
      <c r="L20" s="56">
        <f>'Income Statement'!L5</f>
        <v>84970</v>
      </c>
      <c r="M20" s="56">
        <f>'Income Statement'!M5</f>
        <v>347466</v>
      </c>
      <c r="N20" s="56">
        <f>'Income Statement'!N5</f>
        <v>83394</v>
      </c>
      <c r="O20" s="56">
        <f>'Income Statement'!O5</f>
        <v>87598</v>
      </c>
      <c r="P20" s="56">
        <f>'Income Statement'!P5</f>
        <v>101303</v>
      </c>
      <c r="Q20" s="56">
        <f>'Income Statement'!Q5</f>
        <v>90194</v>
      </c>
      <c r="R20" s="56">
        <f>'Income Statement'!R5</f>
        <v>362489</v>
      </c>
      <c r="S20" s="56">
        <f>'Income Statement'!S5</f>
        <v>91653</v>
      </c>
      <c r="T20" s="56">
        <f>'Income Statement'!T5</f>
        <v>91215</v>
      </c>
      <c r="U20" s="56">
        <f>'Income Statement'!U5</f>
        <v>106441</v>
      </c>
      <c r="V20" s="56">
        <f>'Income Statement'!V5</f>
        <v>98421</v>
      </c>
      <c r="W20" s="56">
        <f>'Income Statement'!W5</f>
        <v>387730</v>
      </c>
      <c r="X20" s="56">
        <f>'Income Statement'!X5</f>
        <v>92568</v>
      </c>
      <c r="Y20" s="56">
        <f>'Income Statement'!Y5</f>
        <v>98249.500800000009</v>
      </c>
      <c r="Z20" s="56">
        <f>'Income Statement'!Z5</f>
        <v>114649.72992000001</v>
      </c>
      <c r="AA20" s="56">
        <f>'Income Statement'!AA5</f>
        <v>106011.22752</v>
      </c>
      <c r="AB20" s="56">
        <f>'Income Statement'!AB5</f>
        <v>413637.45824000001</v>
      </c>
      <c r="AC20" s="56">
        <f>'Income Statement'!AC5</f>
        <v>436476.28806144005</v>
      </c>
      <c r="AD20" s="56">
        <f>'Income Statement'!AD5</f>
        <v>460918.96019288071</v>
      </c>
      <c r="AE20" s="56">
        <f>'Income Statement'!AE5</f>
        <v>486730.42196368205</v>
      </c>
      <c r="AF20" s="56">
        <f>'Income Statement'!AF5</f>
        <v>513987.3255936483</v>
      </c>
    </row>
    <row r="21" spans="2:32" x14ac:dyDescent="0.35">
      <c r="B21" s="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</row>
    <row r="22" spans="2:32" x14ac:dyDescent="0.35">
      <c r="B22" s="3" t="s">
        <v>242</v>
      </c>
      <c r="C22" s="64">
        <f>C5/C19*365</f>
        <v>92.258415202865862</v>
      </c>
      <c r="D22" s="64">
        <f t="shared" ref="D22:W22" si="13">D5/D19*365</f>
        <v>0</v>
      </c>
      <c r="E22" s="64">
        <f t="shared" si="13"/>
        <v>0</v>
      </c>
      <c r="F22" s="64">
        <f t="shared" si="13"/>
        <v>0</v>
      </c>
      <c r="G22" s="64">
        <f t="shared" si="13"/>
        <v>0</v>
      </c>
      <c r="H22" s="64">
        <f t="shared" si="13"/>
        <v>93.197124214445452</v>
      </c>
      <c r="I22" s="64">
        <f t="shared" si="13"/>
        <v>0</v>
      </c>
      <c r="J22" s="64">
        <f t="shared" si="13"/>
        <v>0</v>
      </c>
      <c r="K22" s="64">
        <f t="shared" si="13"/>
        <v>0</v>
      </c>
      <c r="L22" s="64">
        <f t="shared" si="13"/>
        <v>0</v>
      </c>
      <c r="M22" s="64">
        <f t="shared" si="13"/>
        <v>86.233057330624391</v>
      </c>
      <c r="N22" s="64">
        <f t="shared" si="13"/>
        <v>0</v>
      </c>
      <c r="O22" s="64">
        <f t="shared" si="13"/>
        <v>0</v>
      </c>
      <c r="P22" s="64">
        <f t="shared" si="13"/>
        <v>0</v>
      </c>
      <c r="Q22" s="64">
        <f t="shared" si="13"/>
        <v>0</v>
      </c>
      <c r="R22" s="64">
        <f t="shared" si="13"/>
        <v>91.532457495283381</v>
      </c>
      <c r="S22" s="64">
        <f t="shared" si="13"/>
        <v>0</v>
      </c>
      <c r="T22" s="64">
        <f t="shared" si="13"/>
        <v>0</v>
      </c>
      <c r="U22" s="64">
        <f t="shared" si="13"/>
        <v>0</v>
      </c>
      <c r="V22" s="64">
        <f t="shared" si="13"/>
        <v>0</v>
      </c>
      <c r="W22" s="64">
        <f t="shared" si="13"/>
        <v>84.201600158877255</v>
      </c>
      <c r="X22" s="3"/>
      <c r="Y22" s="3"/>
      <c r="Z22" s="3"/>
      <c r="AA22" s="3"/>
      <c r="AB22" s="84">
        <v>90</v>
      </c>
      <c r="AC22" s="84">
        <v>90</v>
      </c>
      <c r="AD22" s="84">
        <v>90</v>
      </c>
      <c r="AE22" s="84">
        <v>90</v>
      </c>
      <c r="AF22" s="84">
        <v>90</v>
      </c>
    </row>
    <row r="24" spans="2:32" hidden="1" outlineLevel="1" x14ac:dyDescent="0.35">
      <c r="AB24" t="s">
        <v>243</v>
      </c>
    </row>
    <row r="25" spans="2:32" hidden="1" outlineLevel="1" x14ac:dyDescent="0.35">
      <c r="AB25" t="s">
        <v>244</v>
      </c>
    </row>
    <row r="26" spans="2:32" hidden="1" outlineLevel="1" x14ac:dyDescent="0.35">
      <c r="AB26" t="s">
        <v>245</v>
      </c>
    </row>
    <row r="27" spans="2:32" hidden="1" outlineLevel="1" x14ac:dyDescent="0.35">
      <c r="AB27" t="s">
        <v>246</v>
      </c>
    </row>
    <row r="28" spans="2:32" collapsed="1" x14ac:dyDescent="0.35"/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EF385-3797-47D9-8DB7-B174A282D70C}">
  <dimension ref="B1:AF13"/>
  <sheetViews>
    <sheetView workbookViewId="0">
      <selection activeCell="B1" sqref="B1"/>
    </sheetView>
  </sheetViews>
  <sheetFormatPr defaultRowHeight="14.5" outlineLevelCol="1" x14ac:dyDescent="0.35"/>
  <cols>
    <col min="2" max="2" width="28.453125" customWidth="1"/>
    <col min="3" max="3" width="9.26953125" customWidth="1" collapsed="1"/>
    <col min="4" max="7" width="9.1796875" hidden="1" customWidth="1" outlineLevel="1"/>
    <col min="8" max="8" width="9" customWidth="1" collapsed="1"/>
    <col min="9" max="12" width="9.1796875" hidden="1" customWidth="1" outlineLevel="1"/>
    <col min="13" max="13" width="8.7265625" collapsed="1"/>
    <col min="14" max="17" width="9.1796875" hidden="1" customWidth="1" outlineLevel="1"/>
    <col min="18" max="18" width="8.7265625" collapsed="1"/>
    <col min="19" max="22" width="9.1796875" hidden="1" customWidth="1" outlineLevel="1"/>
    <col min="23" max="23" width="8.7265625" collapsed="1"/>
    <col min="24" max="27" width="9.1796875" hidden="1" customWidth="1" outlineLevel="1"/>
    <col min="28" max="28" width="9.1796875" customWidth="1" collapsed="1"/>
    <col min="29" max="32" width="9.7265625" bestFit="1" customWidth="1"/>
  </cols>
  <sheetData>
    <row r="1" spans="2:32" x14ac:dyDescent="0.35">
      <c r="B1" s="139" t="s">
        <v>19</v>
      </c>
      <c r="C1" s="92" t="s">
        <v>20</v>
      </c>
      <c r="D1" s="93" t="s">
        <v>21</v>
      </c>
      <c r="E1" s="93" t="s">
        <v>22</v>
      </c>
      <c r="F1" s="93" t="s">
        <v>23</v>
      </c>
      <c r="G1" s="93" t="s">
        <v>24</v>
      </c>
      <c r="H1" s="92" t="s">
        <v>25</v>
      </c>
      <c r="I1" s="93" t="s">
        <v>26</v>
      </c>
      <c r="J1" s="93" t="s">
        <v>27</v>
      </c>
      <c r="K1" s="93" t="s">
        <v>28</v>
      </c>
      <c r="L1" s="93" t="s">
        <v>29</v>
      </c>
      <c r="M1" s="92" t="s">
        <v>30</v>
      </c>
      <c r="N1" s="93" t="s">
        <v>31</v>
      </c>
      <c r="O1" s="93" t="s">
        <v>32</v>
      </c>
      <c r="P1" s="93" t="s">
        <v>33</v>
      </c>
      <c r="Q1" s="93" t="s">
        <v>34</v>
      </c>
      <c r="R1" s="92" t="s">
        <v>35</v>
      </c>
      <c r="S1" s="93" t="s">
        <v>36</v>
      </c>
      <c r="T1" s="93" t="s">
        <v>37</v>
      </c>
      <c r="U1" s="93" t="s">
        <v>38</v>
      </c>
      <c r="V1" s="93" t="s">
        <v>39</v>
      </c>
      <c r="W1" s="92" t="s">
        <v>40</v>
      </c>
      <c r="X1" s="94" t="s">
        <v>41</v>
      </c>
      <c r="Y1" s="95" t="s">
        <v>42</v>
      </c>
      <c r="Z1" s="95" t="s">
        <v>43</v>
      </c>
      <c r="AA1" s="95" t="s">
        <v>44</v>
      </c>
      <c r="AB1" s="95" t="s">
        <v>45</v>
      </c>
      <c r="AC1" s="95" t="s">
        <v>46</v>
      </c>
      <c r="AD1" s="95" t="s">
        <v>47</v>
      </c>
      <c r="AE1" s="95" t="s">
        <v>48</v>
      </c>
      <c r="AF1" s="95" t="s">
        <v>49</v>
      </c>
    </row>
    <row r="2" spans="2:32" x14ac:dyDescent="0.3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2:32" x14ac:dyDescent="0.35">
      <c r="B3" s="3" t="s">
        <v>230</v>
      </c>
      <c r="C3" s="96">
        <f>'Current Assets'!C20</f>
        <v>79.043782480520704</v>
      </c>
      <c r="D3" s="96">
        <f>'Current Assets'!D20</f>
        <v>0</v>
      </c>
      <c r="E3" s="96">
        <f>'Current Assets'!E20</f>
        <v>0</v>
      </c>
      <c r="F3" s="96">
        <f>'Current Assets'!F20</f>
        <v>0</v>
      </c>
      <c r="G3" s="96">
        <f>'Current Assets'!G20</f>
        <v>0</v>
      </c>
      <c r="H3" s="96">
        <f>'Current Assets'!H20</f>
        <v>81.541010944664478</v>
      </c>
      <c r="I3" s="96">
        <f>'Current Assets'!I20</f>
        <v>0</v>
      </c>
      <c r="J3" s="96">
        <f>'Current Assets'!J20</f>
        <v>0</v>
      </c>
      <c r="K3" s="96">
        <f>'Current Assets'!K20</f>
        <v>0</v>
      </c>
      <c r="L3" s="96">
        <f>'Current Assets'!L20</f>
        <v>0</v>
      </c>
      <c r="M3" s="96">
        <f>'Current Assets'!M20</f>
        <v>67.951343597834352</v>
      </c>
      <c r="N3" s="96">
        <f>'Current Assets'!N20</f>
        <v>0</v>
      </c>
      <c r="O3" s="96">
        <f>'Current Assets'!O20</f>
        <v>0</v>
      </c>
      <c r="P3" s="96">
        <f>'Current Assets'!P20</f>
        <v>0</v>
      </c>
      <c r="Q3" s="96">
        <f>'Current Assets'!Q20</f>
        <v>0</v>
      </c>
      <c r="R3" s="96">
        <f>'Current Assets'!R20</f>
        <v>65.117708275869674</v>
      </c>
      <c r="S3" s="96">
        <f>'Current Assets'!S20</f>
        <v>0</v>
      </c>
      <c r="T3" s="96">
        <f>'Current Assets'!T20</f>
        <v>0</v>
      </c>
      <c r="U3" s="96">
        <f>'Current Assets'!U20</f>
        <v>0</v>
      </c>
      <c r="V3" s="96">
        <f>'Current Assets'!V20</f>
        <v>0</v>
      </c>
      <c r="W3" s="96">
        <f>'Current Assets'!W20</f>
        <v>59.556440619621334</v>
      </c>
      <c r="X3" s="96">
        <f>'Current Assets'!X20</f>
        <v>0</v>
      </c>
      <c r="Y3" s="96">
        <f>'Current Assets'!Y20</f>
        <v>0</v>
      </c>
      <c r="Z3" s="96">
        <f>'Current Assets'!Z20</f>
        <v>0</v>
      </c>
      <c r="AA3" s="96">
        <f>'Current Assets'!AA20</f>
        <v>0</v>
      </c>
      <c r="AB3" s="96">
        <f>'Current Assets'!AB20</f>
        <v>67.951343597834352</v>
      </c>
      <c r="AC3" s="96">
        <f>'Current Assets'!AC20</f>
        <v>68</v>
      </c>
      <c r="AD3" s="96">
        <f>'Current Assets'!AD20</f>
        <v>68</v>
      </c>
      <c r="AE3" s="96">
        <f>'Current Assets'!AE20</f>
        <v>68</v>
      </c>
      <c r="AF3" s="96">
        <f>'Current Assets'!AF20</f>
        <v>68</v>
      </c>
    </row>
    <row r="4" spans="2:32" x14ac:dyDescent="0.35">
      <c r="B4" s="3" t="s">
        <v>231</v>
      </c>
      <c r="C4" s="96">
        <f>'Current Assets'!C21</f>
        <v>28.666762064524878</v>
      </c>
      <c r="D4" s="96">
        <f>'Current Assets'!D21</f>
        <v>0</v>
      </c>
      <c r="E4" s="96">
        <f>'Current Assets'!E21</f>
        <v>0</v>
      </c>
      <c r="F4" s="96">
        <f>'Current Assets'!F21</f>
        <v>0</v>
      </c>
      <c r="G4" s="96">
        <f>'Current Assets'!G21</f>
        <v>0</v>
      </c>
      <c r="H4" s="96">
        <f>'Current Assets'!H21</f>
        <v>35.632901821566762</v>
      </c>
      <c r="I4" s="96">
        <f>'Current Assets'!I21</f>
        <v>0</v>
      </c>
      <c r="J4" s="96">
        <f>'Current Assets'!J21</f>
        <v>0</v>
      </c>
      <c r="K4" s="96">
        <f>'Current Assets'!K21</f>
        <v>0</v>
      </c>
      <c r="L4" s="96">
        <f>'Current Assets'!L21</f>
        <v>0</v>
      </c>
      <c r="M4" s="96">
        <f>'Current Assets'!M21</f>
        <v>43.55255305555076</v>
      </c>
      <c r="N4" s="96">
        <f>'Current Assets'!N21</f>
        <v>0</v>
      </c>
      <c r="O4" s="96">
        <f>'Current Assets'!O21</f>
        <v>0</v>
      </c>
      <c r="P4" s="96">
        <f>'Current Assets'!P21</f>
        <v>0</v>
      </c>
      <c r="Q4" s="96">
        <f>'Current Assets'!Q21</f>
        <v>0</v>
      </c>
      <c r="R4" s="96">
        <f>'Current Assets'!R21</f>
        <v>49.763817798609061</v>
      </c>
      <c r="S4" s="96">
        <f>'Current Assets'!S21</f>
        <v>0</v>
      </c>
      <c r="T4" s="96">
        <f>'Current Assets'!T21</f>
        <v>0</v>
      </c>
      <c r="U4" s="96">
        <f>'Current Assets'!U21</f>
        <v>0</v>
      </c>
      <c r="V4" s="96">
        <f>'Current Assets'!V21</f>
        <v>0</v>
      </c>
      <c r="W4" s="96">
        <f>'Current Assets'!W21</f>
        <v>42.483814123230083</v>
      </c>
      <c r="X4" s="96">
        <f>'Current Assets'!X21</f>
        <v>0</v>
      </c>
      <c r="Y4" s="96">
        <f>'Current Assets'!Y21</f>
        <v>0</v>
      </c>
      <c r="Z4" s="96">
        <f>'Current Assets'!Z21</f>
        <v>0</v>
      </c>
      <c r="AA4" s="96">
        <f>'Current Assets'!AA21</f>
        <v>0</v>
      </c>
      <c r="AB4" s="96">
        <f>'Current Assets'!AB21</f>
        <v>45</v>
      </c>
      <c r="AC4" s="96">
        <f>'Current Assets'!AC21</f>
        <v>45</v>
      </c>
      <c r="AD4" s="96">
        <f>'Current Assets'!AD21</f>
        <v>45</v>
      </c>
      <c r="AE4" s="96">
        <f>'Current Assets'!AE21</f>
        <v>45</v>
      </c>
      <c r="AF4" s="96">
        <f>'Current Assets'!AF21</f>
        <v>45</v>
      </c>
    </row>
    <row r="5" spans="2:32" s="98" customFormat="1" x14ac:dyDescent="0.35">
      <c r="B5" s="94" t="s">
        <v>247</v>
      </c>
      <c r="C5" s="97">
        <f>C3+C4</f>
        <v>107.71054454504558</v>
      </c>
      <c r="D5" s="97">
        <f t="shared" ref="D5:AF5" si="0">D3+D4</f>
        <v>0</v>
      </c>
      <c r="E5" s="97">
        <f t="shared" si="0"/>
        <v>0</v>
      </c>
      <c r="F5" s="97">
        <f t="shared" si="0"/>
        <v>0</v>
      </c>
      <c r="G5" s="97">
        <f t="shared" si="0"/>
        <v>0</v>
      </c>
      <c r="H5" s="97">
        <f t="shared" si="0"/>
        <v>117.17391276623124</v>
      </c>
      <c r="I5" s="97">
        <f t="shared" si="0"/>
        <v>0</v>
      </c>
      <c r="J5" s="97">
        <f t="shared" si="0"/>
        <v>0</v>
      </c>
      <c r="K5" s="97">
        <f t="shared" si="0"/>
        <v>0</v>
      </c>
      <c r="L5" s="97">
        <f t="shared" si="0"/>
        <v>0</v>
      </c>
      <c r="M5" s="97">
        <f t="shared" si="0"/>
        <v>111.50389665338511</v>
      </c>
      <c r="N5" s="97">
        <f t="shared" si="0"/>
        <v>0</v>
      </c>
      <c r="O5" s="97">
        <f t="shared" si="0"/>
        <v>0</v>
      </c>
      <c r="P5" s="97">
        <f t="shared" si="0"/>
        <v>0</v>
      </c>
      <c r="Q5" s="97">
        <f t="shared" si="0"/>
        <v>0</v>
      </c>
      <c r="R5" s="97">
        <f t="shared" si="0"/>
        <v>114.88152607447873</v>
      </c>
      <c r="S5" s="97">
        <f t="shared" si="0"/>
        <v>0</v>
      </c>
      <c r="T5" s="97">
        <f t="shared" si="0"/>
        <v>0</v>
      </c>
      <c r="U5" s="97">
        <f t="shared" si="0"/>
        <v>0</v>
      </c>
      <c r="V5" s="97">
        <f t="shared" si="0"/>
        <v>0</v>
      </c>
      <c r="W5" s="97">
        <f t="shared" si="0"/>
        <v>102.04025474285142</v>
      </c>
      <c r="X5" s="97">
        <f t="shared" si="0"/>
        <v>0</v>
      </c>
      <c r="Y5" s="97">
        <f t="shared" si="0"/>
        <v>0</v>
      </c>
      <c r="Z5" s="97">
        <f t="shared" si="0"/>
        <v>0</v>
      </c>
      <c r="AA5" s="97">
        <f t="shared" si="0"/>
        <v>0</v>
      </c>
      <c r="AB5" s="97">
        <f t="shared" si="0"/>
        <v>112.95134359783435</v>
      </c>
      <c r="AC5" s="97">
        <f t="shared" si="0"/>
        <v>113</v>
      </c>
      <c r="AD5" s="97">
        <f t="shared" si="0"/>
        <v>113</v>
      </c>
      <c r="AE5" s="97">
        <f t="shared" si="0"/>
        <v>113</v>
      </c>
      <c r="AF5" s="97">
        <f t="shared" si="0"/>
        <v>113</v>
      </c>
    </row>
    <row r="6" spans="2:32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2:32" x14ac:dyDescent="0.35">
      <c r="B7" s="3" t="s">
        <v>242</v>
      </c>
      <c r="C7" s="96">
        <f>'Current Liability'!C22</f>
        <v>92.258415202865862</v>
      </c>
      <c r="D7" s="96">
        <f>'Current Liability'!D22</f>
        <v>0</v>
      </c>
      <c r="E7" s="96">
        <f>'Current Liability'!E22</f>
        <v>0</v>
      </c>
      <c r="F7" s="96">
        <f>'Current Liability'!F22</f>
        <v>0</v>
      </c>
      <c r="G7" s="96">
        <f>'Current Liability'!G22</f>
        <v>0</v>
      </c>
      <c r="H7" s="96">
        <f>'Current Liability'!H22</f>
        <v>93.197124214445452</v>
      </c>
      <c r="I7" s="96">
        <f>'Current Liability'!I22</f>
        <v>0</v>
      </c>
      <c r="J7" s="96">
        <f>'Current Liability'!J22</f>
        <v>0</v>
      </c>
      <c r="K7" s="96">
        <f>'Current Liability'!K22</f>
        <v>0</v>
      </c>
      <c r="L7" s="96">
        <f>'Current Liability'!L22</f>
        <v>0</v>
      </c>
      <c r="M7" s="96">
        <f>'Current Liability'!M22</f>
        <v>86.233057330624391</v>
      </c>
      <c r="N7" s="96">
        <f>'Current Liability'!N22</f>
        <v>0</v>
      </c>
      <c r="O7" s="96">
        <f>'Current Liability'!O22</f>
        <v>0</v>
      </c>
      <c r="P7" s="96">
        <f>'Current Liability'!P22</f>
        <v>0</v>
      </c>
      <c r="Q7" s="96">
        <f>'Current Liability'!Q22</f>
        <v>0</v>
      </c>
      <c r="R7" s="96">
        <f>'Current Liability'!R22</f>
        <v>91.532457495283381</v>
      </c>
      <c r="S7" s="96">
        <f>'Current Liability'!S22</f>
        <v>0</v>
      </c>
      <c r="T7" s="96">
        <f>'Current Liability'!T22</f>
        <v>0</v>
      </c>
      <c r="U7" s="96">
        <f>'Current Liability'!U22</f>
        <v>0</v>
      </c>
      <c r="V7" s="96">
        <f>'Current Liability'!V22</f>
        <v>0</v>
      </c>
      <c r="W7" s="96">
        <f>'Current Liability'!W22</f>
        <v>84.201600158877255</v>
      </c>
      <c r="X7" s="96">
        <f>'Current Liability'!X22</f>
        <v>0</v>
      </c>
      <c r="Y7" s="96">
        <f>'Current Liability'!Y22</f>
        <v>0</v>
      </c>
      <c r="Z7" s="96">
        <f>'Current Liability'!Z22</f>
        <v>0</v>
      </c>
      <c r="AA7" s="96">
        <f>'Current Liability'!AA22</f>
        <v>0</v>
      </c>
      <c r="AB7" s="96">
        <f>'Current Liability'!AB22</f>
        <v>90</v>
      </c>
      <c r="AC7" s="96">
        <f>'Current Liability'!AC22</f>
        <v>90</v>
      </c>
      <c r="AD7" s="96">
        <f>'Current Liability'!AD22</f>
        <v>90</v>
      </c>
      <c r="AE7" s="96">
        <f>'Current Liability'!AE22</f>
        <v>90</v>
      </c>
      <c r="AF7" s="96">
        <f>'Current Liability'!AF22</f>
        <v>90</v>
      </c>
    </row>
    <row r="8" spans="2:32" s="98" customFormat="1" x14ac:dyDescent="0.35">
      <c r="B8" s="94" t="s">
        <v>248</v>
      </c>
      <c r="C8" s="97">
        <f>C5-C7</f>
        <v>15.452129342179717</v>
      </c>
      <c r="D8" s="97">
        <f t="shared" ref="D8:AF8" si="1">D5-D7</f>
        <v>0</v>
      </c>
      <c r="E8" s="97">
        <f t="shared" si="1"/>
        <v>0</v>
      </c>
      <c r="F8" s="97">
        <f t="shared" si="1"/>
        <v>0</v>
      </c>
      <c r="G8" s="97">
        <f t="shared" si="1"/>
        <v>0</v>
      </c>
      <c r="H8" s="97">
        <f t="shared" si="1"/>
        <v>23.976788551785788</v>
      </c>
      <c r="I8" s="97">
        <f t="shared" si="1"/>
        <v>0</v>
      </c>
      <c r="J8" s="97">
        <f t="shared" si="1"/>
        <v>0</v>
      </c>
      <c r="K8" s="97">
        <f t="shared" si="1"/>
        <v>0</v>
      </c>
      <c r="L8" s="97">
        <f t="shared" si="1"/>
        <v>0</v>
      </c>
      <c r="M8" s="97">
        <f t="shared" si="1"/>
        <v>25.270839322760722</v>
      </c>
      <c r="N8" s="97">
        <f t="shared" si="1"/>
        <v>0</v>
      </c>
      <c r="O8" s="97">
        <f t="shared" si="1"/>
        <v>0</v>
      </c>
      <c r="P8" s="97">
        <f t="shared" si="1"/>
        <v>0</v>
      </c>
      <c r="Q8" s="97">
        <f t="shared" si="1"/>
        <v>0</v>
      </c>
      <c r="R8" s="97">
        <f t="shared" si="1"/>
        <v>23.349068579195347</v>
      </c>
      <c r="S8" s="97">
        <f t="shared" si="1"/>
        <v>0</v>
      </c>
      <c r="T8" s="97">
        <f t="shared" si="1"/>
        <v>0</v>
      </c>
      <c r="U8" s="97">
        <f t="shared" si="1"/>
        <v>0</v>
      </c>
      <c r="V8" s="97">
        <f t="shared" si="1"/>
        <v>0</v>
      </c>
      <c r="W8" s="97">
        <f t="shared" si="1"/>
        <v>17.838654583974161</v>
      </c>
      <c r="X8" s="97">
        <f t="shared" si="1"/>
        <v>0</v>
      </c>
      <c r="Y8" s="97">
        <f t="shared" si="1"/>
        <v>0</v>
      </c>
      <c r="Z8" s="97">
        <f t="shared" si="1"/>
        <v>0</v>
      </c>
      <c r="AA8" s="97">
        <f t="shared" si="1"/>
        <v>0</v>
      </c>
      <c r="AB8" s="97">
        <f t="shared" si="1"/>
        <v>22.951343597834352</v>
      </c>
      <c r="AC8" s="97">
        <f t="shared" si="1"/>
        <v>23</v>
      </c>
      <c r="AD8" s="97">
        <f t="shared" si="1"/>
        <v>23</v>
      </c>
      <c r="AE8" s="97">
        <f t="shared" si="1"/>
        <v>23</v>
      </c>
      <c r="AF8" s="97">
        <f t="shared" si="1"/>
        <v>23</v>
      </c>
    </row>
    <row r="9" spans="2:32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2:32" s="98" customFormat="1" x14ac:dyDescent="0.35">
      <c r="B10" s="94" t="s">
        <v>228</v>
      </c>
      <c r="C10" s="99">
        <f>'Current Assets'!C14</f>
        <v>110394.95999999999</v>
      </c>
      <c r="D10" s="99">
        <f>'Current Assets'!D14</f>
        <v>0</v>
      </c>
      <c r="E10" s="99">
        <f>'Current Assets'!E14</f>
        <v>0</v>
      </c>
      <c r="F10" s="99">
        <f>'Current Assets'!F14</f>
        <v>0</v>
      </c>
      <c r="G10" s="99">
        <f>'Current Assets'!G14</f>
        <v>0</v>
      </c>
      <c r="H10" s="99">
        <f>'Current Assets'!H14</f>
        <v>104056.98999999999</v>
      </c>
      <c r="I10" s="99">
        <f>'Current Assets'!I14</f>
        <v>0</v>
      </c>
      <c r="J10" s="99">
        <f>'Current Assets'!J14</f>
        <v>0</v>
      </c>
      <c r="K10" s="99">
        <f>'Current Assets'!K14</f>
        <v>0</v>
      </c>
      <c r="L10" s="99">
        <f>'Current Assets'!L14</f>
        <v>0</v>
      </c>
      <c r="M10" s="99">
        <f>'Current Assets'!M14</f>
        <v>123334.39999999999</v>
      </c>
      <c r="N10" s="99">
        <f>'Current Assets'!N14</f>
        <v>0</v>
      </c>
      <c r="O10" s="99">
        <f>'Current Assets'!O14</f>
        <v>0</v>
      </c>
      <c r="P10" s="99">
        <f>'Current Assets'!P14</f>
        <v>0</v>
      </c>
      <c r="Q10" s="99">
        <f>'Current Assets'!Q14</f>
        <v>0</v>
      </c>
      <c r="R10" s="99">
        <f>'Current Assets'!R14</f>
        <v>136016.35999999999</v>
      </c>
      <c r="S10" s="99">
        <f>'Current Assets'!S14</f>
        <v>0</v>
      </c>
      <c r="T10" s="99">
        <f>'Current Assets'!T14</f>
        <v>0</v>
      </c>
      <c r="U10" s="99">
        <f>'Current Assets'!U14</f>
        <v>0</v>
      </c>
      <c r="V10" s="99">
        <f>'Current Assets'!V14</f>
        <v>0</v>
      </c>
      <c r="W10" s="99">
        <f>'Current Assets'!W14</f>
        <v>162438.5</v>
      </c>
      <c r="X10" s="99">
        <f>'Current Assets'!X14</f>
        <v>0</v>
      </c>
      <c r="Y10" s="99">
        <f>'Current Assets'!Y14</f>
        <v>0</v>
      </c>
      <c r="Z10" s="99">
        <f>'Current Assets'!Z14</f>
        <v>0</v>
      </c>
      <c r="AA10" s="99">
        <f>'Current Assets'!AA14</f>
        <v>0</v>
      </c>
      <c r="AB10" s="99">
        <f>'Current Assets'!AB14</f>
        <v>167660.34104313763</v>
      </c>
      <c r="AC10" s="99">
        <f>'Current Assets'!AC14</f>
        <v>175988.45861937717</v>
      </c>
      <c r="AD10" s="99">
        <f>'Current Assets'!AD14</f>
        <v>185843.81230206229</v>
      </c>
      <c r="AE10" s="99">
        <f>'Current Assets'!AE14</f>
        <v>196251.06579097779</v>
      </c>
      <c r="AF10" s="99">
        <f>'Current Assets'!AF14</f>
        <v>207241.12547527254</v>
      </c>
    </row>
    <row r="11" spans="2:32" s="98" customFormat="1" x14ac:dyDescent="0.35">
      <c r="B11" s="94" t="s">
        <v>241</v>
      </c>
      <c r="C11" s="99">
        <f>'Current Liability'!C16</f>
        <v>60826.23</v>
      </c>
      <c r="D11" s="99">
        <f>'Current Liability'!D16</f>
        <v>0</v>
      </c>
      <c r="E11" s="99">
        <f>'Current Liability'!E16</f>
        <v>0</v>
      </c>
      <c r="F11" s="99">
        <f>'Current Liability'!F16</f>
        <v>0</v>
      </c>
      <c r="G11" s="99">
        <f>'Current Liability'!G16</f>
        <v>0</v>
      </c>
      <c r="H11" s="99">
        <f>'Current Liability'!H16</f>
        <v>65201.329999999994</v>
      </c>
      <c r="I11" s="99">
        <f>'Current Liability'!I16</f>
        <v>0</v>
      </c>
      <c r="J11" s="99">
        <f>'Current Liability'!J16</f>
        <v>0</v>
      </c>
      <c r="K11" s="99">
        <f>'Current Liability'!K16</f>
        <v>0</v>
      </c>
      <c r="L11" s="99">
        <f>'Current Liability'!L16</f>
        <v>0</v>
      </c>
      <c r="M11" s="99">
        <f>'Current Liability'!M16</f>
        <v>65027.7</v>
      </c>
      <c r="N11" s="99">
        <f>'Current Liability'!N16</f>
        <v>0</v>
      </c>
      <c r="O11" s="99">
        <f>'Current Liability'!O16</f>
        <v>0</v>
      </c>
      <c r="P11" s="99">
        <f>'Current Liability'!P16</f>
        <v>0</v>
      </c>
      <c r="Q11" s="99">
        <f>'Current Liability'!Q16</f>
        <v>0</v>
      </c>
      <c r="R11" s="99">
        <f>'Current Liability'!R16</f>
        <v>69313.739999999991</v>
      </c>
      <c r="S11" s="99">
        <f>'Current Liability'!S16</f>
        <v>0</v>
      </c>
      <c r="T11" s="99">
        <f>'Current Liability'!T16</f>
        <v>0</v>
      </c>
      <c r="U11" s="99">
        <f>'Current Liability'!U16</f>
        <v>0</v>
      </c>
      <c r="V11" s="99">
        <f>'Current Liability'!V16</f>
        <v>0</v>
      </c>
      <c r="W11" s="99">
        <f>'Current Liability'!W16</f>
        <v>71726.45</v>
      </c>
      <c r="X11" s="99">
        <f>'Current Liability'!X16</f>
        <v>0</v>
      </c>
      <c r="Y11" s="99">
        <f>'Current Liability'!Y16</f>
        <v>0</v>
      </c>
      <c r="Z11" s="99">
        <f>'Current Liability'!Z16</f>
        <v>0</v>
      </c>
      <c r="AA11" s="99">
        <f>'Current Liability'!AA16</f>
        <v>0</v>
      </c>
      <c r="AB11" s="99">
        <f>'Current Liability'!AB16</f>
        <v>27335.516662391041</v>
      </c>
      <c r="AC11" s="99">
        <f>'Current Liability'!AC16</f>
        <v>28958.455807724302</v>
      </c>
      <c r="AD11" s="99">
        <f>'Current Liability'!AD16</f>
        <v>30580.129332956865</v>
      </c>
      <c r="AE11" s="99">
        <f>'Current Liability'!AE16</f>
        <v>32292.616575602449</v>
      </c>
      <c r="AF11" s="99">
        <f>'Current Liability'!AF16</f>
        <v>34101.003103836192</v>
      </c>
    </row>
    <row r="12" spans="2:32" x14ac:dyDescent="0.35">
      <c r="B12" s="100" t="s">
        <v>249</v>
      </c>
      <c r="C12" s="64">
        <f>C10-C11</f>
        <v>49568.729999999989</v>
      </c>
      <c r="D12" s="64">
        <f t="shared" ref="D12:AF12" si="2">D10-D11</f>
        <v>0</v>
      </c>
      <c r="E12" s="64">
        <f t="shared" si="2"/>
        <v>0</v>
      </c>
      <c r="F12" s="64">
        <f t="shared" si="2"/>
        <v>0</v>
      </c>
      <c r="G12" s="64">
        <f t="shared" si="2"/>
        <v>0</v>
      </c>
      <c r="H12" s="64">
        <f t="shared" si="2"/>
        <v>38855.659999999996</v>
      </c>
      <c r="I12" s="64">
        <f t="shared" si="2"/>
        <v>0</v>
      </c>
      <c r="J12" s="64">
        <f t="shared" si="2"/>
        <v>0</v>
      </c>
      <c r="K12" s="64">
        <f t="shared" si="2"/>
        <v>0</v>
      </c>
      <c r="L12" s="64">
        <f t="shared" si="2"/>
        <v>0</v>
      </c>
      <c r="M12" s="64">
        <f t="shared" si="2"/>
        <v>58306.7</v>
      </c>
      <c r="N12" s="64">
        <f t="shared" si="2"/>
        <v>0</v>
      </c>
      <c r="O12" s="64">
        <f t="shared" si="2"/>
        <v>0</v>
      </c>
      <c r="P12" s="64">
        <f t="shared" si="2"/>
        <v>0</v>
      </c>
      <c r="Q12" s="64">
        <f t="shared" si="2"/>
        <v>0</v>
      </c>
      <c r="R12" s="64">
        <f t="shared" si="2"/>
        <v>66702.62</v>
      </c>
      <c r="S12" s="64">
        <f t="shared" si="2"/>
        <v>0</v>
      </c>
      <c r="T12" s="64">
        <f t="shared" si="2"/>
        <v>0</v>
      </c>
      <c r="U12" s="64">
        <f t="shared" si="2"/>
        <v>0</v>
      </c>
      <c r="V12" s="64">
        <f t="shared" si="2"/>
        <v>0</v>
      </c>
      <c r="W12" s="64">
        <f t="shared" si="2"/>
        <v>90712.05</v>
      </c>
      <c r="X12" s="64">
        <f t="shared" si="2"/>
        <v>0</v>
      </c>
      <c r="Y12" s="64">
        <f t="shared" si="2"/>
        <v>0</v>
      </c>
      <c r="Z12" s="64">
        <f t="shared" si="2"/>
        <v>0</v>
      </c>
      <c r="AA12" s="64">
        <f t="shared" si="2"/>
        <v>0</v>
      </c>
      <c r="AB12" s="64">
        <f t="shared" si="2"/>
        <v>140324.82438074658</v>
      </c>
      <c r="AC12" s="64">
        <f t="shared" si="2"/>
        <v>147030.00281165287</v>
      </c>
      <c r="AD12" s="64">
        <f t="shared" si="2"/>
        <v>155263.68296910543</v>
      </c>
      <c r="AE12" s="64">
        <f t="shared" si="2"/>
        <v>163958.44921537535</v>
      </c>
      <c r="AF12" s="64">
        <f t="shared" si="2"/>
        <v>173140.12237143633</v>
      </c>
    </row>
    <row r="13" spans="2:32" s="98" customFormat="1" x14ac:dyDescent="0.35">
      <c r="B13" s="94" t="s">
        <v>250</v>
      </c>
      <c r="C13" s="94"/>
      <c r="D13" s="94"/>
      <c r="E13" s="94"/>
      <c r="F13" s="94"/>
      <c r="G13" s="94"/>
      <c r="H13" s="101">
        <f>H12-C12</f>
        <v>-10713.069999999992</v>
      </c>
      <c r="I13" s="101">
        <f t="shared" ref="I13:AA13" si="3">I12-D12</f>
        <v>0</v>
      </c>
      <c r="J13" s="101">
        <f t="shared" si="3"/>
        <v>0</v>
      </c>
      <c r="K13" s="101">
        <f t="shared" si="3"/>
        <v>0</v>
      </c>
      <c r="L13" s="101">
        <f t="shared" si="3"/>
        <v>0</v>
      </c>
      <c r="M13" s="101">
        <f t="shared" si="3"/>
        <v>19451.04</v>
      </c>
      <c r="N13" s="101">
        <f t="shared" si="3"/>
        <v>0</v>
      </c>
      <c r="O13" s="101">
        <f t="shared" si="3"/>
        <v>0</v>
      </c>
      <c r="P13" s="101">
        <f t="shared" si="3"/>
        <v>0</v>
      </c>
      <c r="Q13" s="101">
        <f t="shared" si="3"/>
        <v>0</v>
      </c>
      <c r="R13" s="101">
        <f t="shared" si="3"/>
        <v>8395.9199999999983</v>
      </c>
      <c r="S13" s="101">
        <f t="shared" si="3"/>
        <v>0</v>
      </c>
      <c r="T13" s="101">
        <f t="shared" si="3"/>
        <v>0</v>
      </c>
      <c r="U13" s="101">
        <f t="shared" si="3"/>
        <v>0</v>
      </c>
      <c r="V13" s="101">
        <f t="shared" si="3"/>
        <v>0</v>
      </c>
      <c r="W13" s="101">
        <f t="shared" si="3"/>
        <v>24009.430000000008</v>
      </c>
      <c r="X13" s="101">
        <f t="shared" si="3"/>
        <v>0</v>
      </c>
      <c r="Y13" s="101">
        <f t="shared" si="3"/>
        <v>0</v>
      </c>
      <c r="Z13" s="101">
        <f t="shared" si="3"/>
        <v>0</v>
      </c>
      <c r="AA13" s="101">
        <f t="shared" si="3"/>
        <v>0</v>
      </c>
      <c r="AB13" s="101">
        <f>AB12-W12</f>
        <v>49612.774380746574</v>
      </c>
      <c r="AC13" s="101">
        <f>AC12-AB12</f>
        <v>6705.1784309062932</v>
      </c>
      <c r="AD13" s="101">
        <f>AD12-AC12</f>
        <v>8233.6801574525598</v>
      </c>
      <c r="AE13" s="101">
        <f>AE12-AD12</f>
        <v>8694.7662462699227</v>
      </c>
      <c r="AF13" s="101">
        <f>AF12-AE12</f>
        <v>9181.6731560609769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50A1-058A-40C9-ACD1-E09578020D96}">
  <dimension ref="B1:AF20"/>
  <sheetViews>
    <sheetView zoomScale="74" zoomScaleNormal="70" workbookViewId="0">
      <selection activeCell="C17" sqref="C17"/>
    </sheetView>
  </sheetViews>
  <sheetFormatPr defaultRowHeight="14.5" outlineLevelCol="1" x14ac:dyDescent="0.35"/>
  <cols>
    <col min="2" max="2" width="33.90625" bestFit="1" customWidth="1"/>
    <col min="3" max="3" width="10.453125" bestFit="1" customWidth="1" collapsed="1"/>
    <col min="4" max="7" width="10.90625" hidden="1" customWidth="1" outlineLevel="1"/>
    <col min="8" max="8" width="10.453125" bestFit="1" customWidth="1" collapsed="1"/>
    <col min="9" max="12" width="10.90625" hidden="1" customWidth="1" outlineLevel="1"/>
    <col min="13" max="13" width="10.453125" bestFit="1" customWidth="1" collapsed="1"/>
    <col min="14" max="17" width="10.90625" hidden="1" customWidth="1" outlineLevel="1"/>
    <col min="18" max="18" width="10.453125" bestFit="1" customWidth="1" collapsed="1"/>
    <col min="19" max="22" width="10.90625" hidden="1" customWidth="1" outlineLevel="1"/>
    <col min="23" max="23" width="10.453125" bestFit="1" customWidth="1" collapsed="1"/>
    <col min="24" max="24" width="10.90625" hidden="1" customWidth="1" outlineLevel="1"/>
    <col min="25" max="27" width="12.26953125" hidden="1" customWidth="1" outlineLevel="1"/>
    <col min="28" max="28" width="11.81640625" bestFit="1" customWidth="1" collapsed="1"/>
    <col min="29" max="31" width="11.81640625" bestFit="1" customWidth="1"/>
    <col min="32" max="32" width="10.453125" bestFit="1" customWidth="1"/>
    <col min="36" max="36" width="8.81640625" bestFit="1" customWidth="1"/>
  </cols>
  <sheetData>
    <row r="1" spans="2:32" x14ac:dyDescent="0.35">
      <c r="B1" s="91" t="s">
        <v>140</v>
      </c>
      <c r="C1" s="92" t="s">
        <v>20</v>
      </c>
      <c r="D1" s="93" t="s">
        <v>21</v>
      </c>
      <c r="E1" s="93" t="s">
        <v>22</v>
      </c>
      <c r="F1" s="93" t="s">
        <v>23</v>
      </c>
      <c r="G1" s="93" t="s">
        <v>24</v>
      </c>
      <c r="H1" s="92" t="s">
        <v>25</v>
      </c>
      <c r="I1" s="93" t="s">
        <v>26</v>
      </c>
      <c r="J1" s="93" t="s">
        <v>27</v>
      </c>
      <c r="K1" s="93" t="s">
        <v>28</v>
      </c>
      <c r="L1" s="93" t="s">
        <v>29</v>
      </c>
      <c r="M1" s="92" t="s">
        <v>30</v>
      </c>
      <c r="N1" s="93" t="s">
        <v>31</v>
      </c>
      <c r="O1" s="93" t="s">
        <v>32</v>
      </c>
      <c r="P1" s="93" t="s">
        <v>33</v>
      </c>
      <c r="Q1" s="93" t="s">
        <v>34</v>
      </c>
      <c r="R1" s="92" t="s">
        <v>35</v>
      </c>
      <c r="S1" s="93" t="s">
        <v>36</v>
      </c>
      <c r="T1" s="93" t="s">
        <v>37</v>
      </c>
      <c r="U1" s="93" t="s">
        <v>38</v>
      </c>
      <c r="V1" s="93" t="s">
        <v>39</v>
      </c>
      <c r="W1" s="92" t="s">
        <v>40</v>
      </c>
      <c r="X1" s="94" t="s">
        <v>41</v>
      </c>
      <c r="Y1" s="95" t="s">
        <v>42</v>
      </c>
      <c r="Z1" s="95" t="s">
        <v>43</v>
      </c>
      <c r="AA1" s="95" t="s">
        <v>44</v>
      </c>
      <c r="AB1" s="95" t="s">
        <v>45</v>
      </c>
      <c r="AC1" s="95" t="s">
        <v>46</v>
      </c>
      <c r="AD1" s="95" t="s">
        <v>47</v>
      </c>
      <c r="AE1" s="95" t="s">
        <v>48</v>
      </c>
      <c r="AF1" s="95" t="s">
        <v>49</v>
      </c>
    </row>
    <row r="3" spans="2:32" x14ac:dyDescent="0.35">
      <c r="B3" s="102" t="s">
        <v>251</v>
      </c>
      <c r="H3" s="27">
        <f>C8</f>
        <v>71426.679999999993</v>
      </c>
      <c r="I3" s="27">
        <f t="shared" ref="I3:AB3" si="0">D8</f>
        <v>0</v>
      </c>
      <c r="J3" s="27">
        <f t="shared" si="0"/>
        <v>0</v>
      </c>
      <c r="K3" s="27">
        <f t="shared" si="0"/>
        <v>0</v>
      </c>
      <c r="L3" s="27">
        <f t="shared" si="0"/>
        <v>0</v>
      </c>
      <c r="M3" s="27">
        <f t="shared" si="0"/>
        <v>68569.039999999994</v>
      </c>
      <c r="N3" s="27">
        <f t="shared" si="0"/>
        <v>0</v>
      </c>
      <c r="O3" s="27">
        <f t="shared" si="0"/>
        <v>0</v>
      </c>
      <c r="P3" s="27">
        <f t="shared" si="0"/>
        <v>0</v>
      </c>
      <c r="Q3" s="27">
        <f t="shared" si="0"/>
        <v>0</v>
      </c>
      <c r="R3" s="27">
        <f t="shared" si="0"/>
        <v>63005.53</v>
      </c>
      <c r="S3" s="27">
        <f t="shared" si="0"/>
        <v>0</v>
      </c>
      <c r="T3" s="27">
        <f t="shared" si="0"/>
        <v>0</v>
      </c>
      <c r="U3" s="27">
        <f t="shared" si="0"/>
        <v>0</v>
      </c>
      <c r="V3" s="27">
        <f t="shared" si="0"/>
        <v>0</v>
      </c>
      <c r="W3" s="27">
        <f t="shared" si="0"/>
        <v>58114.73</v>
      </c>
      <c r="X3" s="27">
        <f t="shared" si="0"/>
        <v>0</v>
      </c>
      <c r="Y3" s="27">
        <f t="shared" si="0"/>
        <v>0</v>
      </c>
      <c r="Z3" s="27">
        <f t="shared" si="0"/>
        <v>0</v>
      </c>
      <c r="AA3" s="27">
        <f t="shared" si="0"/>
        <v>0</v>
      </c>
      <c r="AB3" s="27">
        <f t="shared" si="0"/>
        <v>54454.75</v>
      </c>
      <c r="AC3" s="27">
        <f>AB8</f>
        <v>51288.241249999999</v>
      </c>
      <c r="AD3" s="27">
        <f>AC8</f>
        <v>48852.876268749998</v>
      </c>
      <c r="AE3" s="27">
        <f>AD8</f>
        <v>47042.63920978125</v>
      </c>
      <c r="AF3" s="27">
        <f>AE8</f>
        <v>45766.88652436297</v>
      </c>
    </row>
    <row r="4" spans="2:32" s="98" customFormat="1" x14ac:dyDescent="0.35">
      <c r="B4" s="98" t="s">
        <v>252</v>
      </c>
      <c r="C4" s="108">
        <f>-'Cash Flow '!C49</f>
        <v>3369.02</v>
      </c>
      <c r="D4" s="108">
        <f>-'Cash Flow '!D49</f>
        <v>0</v>
      </c>
      <c r="E4" s="108">
        <f>-'Cash Flow '!E49</f>
        <v>0</v>
      </c>
      <c r="F4" s="108">
        <f>-'Cash Flow '!F49</f>
        <v>0</v>
      </c>
      <c r="G4" s="108">
        <f>-'Cash Flow '!G49</f>
        <v>0</v>
      </c>
      <c r="H4" s="108">
        <f>-'Cash Flow '!H49</f>
        <v>48356.160000000003</v>
      </c>
      <c r="I4" s="108">
        <f>-'Cash Flow '!I49</f>
        <v>0</v>
      </c>
      <c r="J4" s="108">
        <f>-'Cash Flow '!J49</f>
        <v>0</v>
      </c>
      <c r="K4" s="108">
        <f>-'Cash Flow '!K49</f>
        <v>0</v>
      </c>
      <c r="L4" s="108">
        <f>-'Cash Flow '!L49</f>
        <v>0</v>
      </c>
      <c r="M4" s="108">
        <f>-'Cash Flow '!M49</f>
        <v>4045.88</v>
      </c>
      <c r="N4" s="108">
        <f>-'Cash Flow '!N49</f>
        <v>0</v>
      </c>
      <c r="O4" s="108">
        <f>-'Cash Flow '!O49</f>
        <v>0</v>
      </c>
      <c r="P4" s="108">
        <f>-'Cash Flow '!P49</f>
        <v>0</v>
      </c>
      <c r="Q4" s="108">
        <f>-'Cash Flow '!Q49</f>
        <v>0</v>
      </c>
      <c r="R4" s="108">
        <f>-'Cash Flow '!R49</f>
        <v>4058.51</v>
      </c>
      <c r="S4" s="108">
        <f>-'Cash Flow '!S49</f>
        <v>0</v>
      </c>
      <c r="T4" s="108">
        <f>-'Cash Flow '!T49</f>
        <v>0</v>
      </c>
      <c r="U4" s="108">
        <f>-'Cash Flow '!U49</f>
        <v>0</v>
      </c>
      <c r="V4" s="108">
        <f>-'Cash Flow '!V49</f>
        <v>0</v>
      </c>
      <c r="W4" s="108">
        <f>-'Cash Flow '!W49</f>
        <v>4457.43</v>
      </c>
      <c r="X4" s="108">
        <f>'Cash Flow '!X49</f>
        <v>0</v>
      </c>
      <c r="Y4" s="108">
        <f>'Cash Flow '!Y49</f>
        <v>0</v>
      </c>
      <c r="Z4" s="108">
        <f>'Cash Flow '!Z49</f>
        <v>0</v>
      </c>
      <c r="AA4" s="108">
        <f>'Cash Flow '!AA49</f>
        <v>0</v>
      </c>
      <c r="AB4" s="108">
        <f>W4+272</f>
        <v>4729.43</v>
      </c>
      <c r="AC4" s="108">
        <f>AB4+272</f>
        <v>5001.43</v>
      </c>
      <c r="AD4" s="108">
        <f t="shared" ref="AD4:AF4" si="1">AC4+272</f>
        <v>5273.43</v>
      </c>
      <c r="AE4" s="108">
        <f t="shared" si="1"/>
        <v>5545.43</v>
      </c>
      <c r="AF4" s="108">
        <f t="shared" si="1"/>
        <v>5817.43</v>
      </c>
    </row>
    <row r="5" spans="2:32" x14ac:dyDescent="0.35">
      <c r="B5" s="102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AB5" s="27"/>
    </row>
    <row r="6" spans="2:32" x14ac:dyDescent="0.35">
      <c r="B6" s="102" t="s">
        <v>69</v>
      </c>
      <c r="C6" s="104">
        <f>'Income Statement'!C24</f>
        <v>9910</v>
      </c>
      <c r="D6" s="104">
        <f>'Income Statement'!D24</f>
        <v>2339</v>
      </c>
      <c r="E6" s="104">
        <f>'Income Statement'!E24</f>
        <v>2361</v>
      </c>
      <c r="F6" s="104">
        <f>'Income Statement'!F24</f>
        <v>2418</v>
      </c>
      <c r="G6" s="104">
        <f>'Income Statement'!G24</f>
        <v>2303</v>
      </c>
      <c r="H6" s="104">
        <f>'Income Statement'!H24</f>
        <v>9421</v>
      </c>
      <c r="I6" s="104">
        <f>'Income Statement'!I24</f>
        <v>2416</v>
      </c>
      <c r="J6" s="104">
        <f>'Income Statement'!J24</f>
        <v>2447</v>
      </c>
      <c r="K6" s="104">
        <f>'Income Statement'!K24</f>
        <v>2378</v>
      </c>
      <c r="L6" s="104">
        <f>'Income Statement'!L24</f>
        <v>2495</v>
      </c>
      <c r="M6" s="104">
        <f>'Income Statement'!M24</f>
        <v>9736</v>
      </c>
      <c r="N6" s="104">
        <f>'Income Statement'!N24</f>
        <v>2282</v>
      </c>
      <c r="O6" s="104">
        <f>'Income Statement'!O24</f>
        <v>2267</v>
      </c>
      <c r="P6" s="104">
        <f>'Income Statement'!P24</f>
        <v>2239</v>
      </c>
      <c r="Q6" s="104">
        <f>'Income Statement'!Q24</f>
        <v>8566</v>
      </c>
      <c r="R6" s="104">
        <f>'Income Statement'!R24</f>
        <v>9272</v>
      </c>
      <c r="S6" s="104">
        <f>'Income Statement'!S24</f>
        <v>2121</v>
      </c>
      <c r="T6" s="104">
        <f>'Income Statement'!T24</f>
        <v>2135</v>
      </c>
      <c r="U6" s="104">
        <f>'Income Statement'!U24</f>
        <v>2232</v>
      </c>
      <c r="V6" s="104">
        <f>'Income Statement'!V24</f>
        <v>2078</v>
      </c>
      <c r="W6" s="104">
        <f>'Income Statement'!W24</f>
        <v>8566</v>
      </c>
      <c r="X6" s="104">
        <f>'Income Statement'!X24</f>
        <v>2172</v>
      </c>
      <c r="Y6" s="104">
        <f>'Income Statement'!Y24</f>
        <v>0</v>
      </c>
      <c r="Z6" s="104">
        <f>'Income Statement'!Z24</f>
        <v>0</v>
      </c>
      <c r="AA6" s="104">
        <f>'Income Statement'!AA24</f>
        <v>0</v>
      </c>
      <c r="AB6" s="109">
        <f>AB7*AB3</f>
        <v>7895.9387499999993</v>
      </c>
      <c r="AC6" s="109">
        <f t="shared" ref="AC6:AF6" si="2">AC7*AC3</f>
        <v>7436.7949812499992</v>
      </c>
      <c r="AD6" s="109">
        <f t="shared" si="2"/>
        <v>7083.6670589687492</v>
      </c>
      <c r="AE6" s="109">
        <f t="shared" si="2"/>
        <v>6821.1826854182809</v>
      </c>
      <c r="AF6" s="109">
        <f t="shared" si="2"/>
        <v>6636.1985460326305</v>
      </c>
    </row>
    <row r="7" spans="2:32" s="106" customFormat="1" x14ac:dyDescent="0.35">
      <c r="B7" s="105" t="s">
        <v>253</v>
      </c>
      <c r="H7" s="106">
        <f>H6/H3</f>
        <v>0.13189749264560527</v>
      </c>
      <c r="I7" s="106" t="e">
        <f t="shared" ref="I7:AA7" si="3">I6/I3</f>
        <v>#DIV/0!</v>
      </c>
      <c r="J7" s="106" t="e">
        <f t="shared" si="3"/>
        <v>#DIV/0!</v>
      </c>
      <c r="K7" s="106" t="e">
        <f t="shared" si="3"/>
        <v>#DIV/0!</v>
      </c>
      <c r="L7" s="106" t="e">
        <f t="shared" si="3"/>
        <v>#DIV/0!</v>
      </c>
      <c r="M7" s="106">
        <f t="shared" si="3"/>
        <v>0.14198827925839419</v>
      </c>
      <c r="N7" s="106" t="e">
        <f t="shared" si="3"/>
        <v>#DIV/0!</v>
      </c>
      <c r="O7" s="106" t="e">
        <f t="shared" si="3"/>
        <v>#DIV/0!</v>
      </c>
      <c r="P7" s="106" t="e">
        <f t="shared" si="3"/>
        <v>#DIV/0!</v>
      </c>
      <c r="Q7" s="106" t="e">
        <f t="shared" si="3"/>
        <v>#DIV/0!</v>
      </c>
      <c r="R7" s="106">
        <f t="shared" si="3"/>
        <v>0.14716168564886289</v>
      </c>
      <c r="S7" s="106" t="e">
        <f t="shared" si="3"/>
        <v>#DIV/0!</v>
      </c>
      <c r="T7" s="106" t="e">
        <f t="shared" si="3"/>
        <v>#DIV/0!</v>
      </c>
      <c r="U7" s="106" t="e">
        <f t="shared" si="3"/>
        <v>#DIV/0!</v>
      </c>
      <c r="V7" s="106" t="e">
        <f t="shared" si="3"/>
        <v>#DIV/0!</v>
      </c>
      <c r="W7" s="106">
        <f t="shared" si="3"/>
        <v>0.14739808650922062</v>
      </c>
      <c r="X7" s="106" t="e">
        <f t="shared" si="3"/>
        <v>#DIV/0!</v>
      </c>
      <c r="Y7" s="106" t="e">
        <f t="shared" si="3"/>
        <v>#DIV/0!</v>
      </c>
      <c r="Z7" s="106" t="e">
        <f t="shared" si="3"/>
        <v>#DIV/0!</v>
      </c>
      <c r="AA7" s="106" t="e">
        <f t="shared" si="3"/>
        <v>#DIV/0!</v>
      </c>
      <c r="AB7" s="106">
        <v>0.14499999999999999</v>
      </c>
      <c r="AC7" s="106">
        <v>0.14499999999999999</v>
      </c>
      <c r="AD7" s="106">
        <v>0.14499999999999999</v>
      </c>
      <c r="AE7" s="106">
        <v>0.14499999999999999</v>
      </c>
      <c r="AF7" s="106">
        <v>0.14499999999999999</v>
      </c>
    </row>
    <row r="8" spans="2:32" x14ac:dyDescent="0.35">
      <c r="B8" s="102" t="s">
        <v>254</v>
      </c>
      <c r="C8" s="109">
        <f>'Balance Sheet'!C3</f>
        <v>71426.679999999993</v>
      </c>
      <c r="D8" s="109">
        <f>'Balance Sheet'!D3</f>
        <v>0</v>
      </c>
      <c r="E8" s="109">
        <f>'Balance Sheet'!E3</f>
        <v>0</v>
      </c>
      <c r="F8" s="109">
        <f>'Balance Sheet'!F3</f>
        <v>0</v>
      </c>
      <c r="G8" s="109">
        <f>'Balance Sheet'!G3</f>
        <v>0</v>
      </c>
      <c r="H8" s="109">
        <f>'Balance Sheet'!H3</f>
        <v>68569.039999999994</v>
      </c>
      <c r="I8" s="109">
        <f>'Balance Sheet'!I3</f>
        <v>0</v>
      </c>
      <c r="J8" s="109">
        <f>'Balance Sheet'!J3</f>
        <v>0</v>
      </c>
      <c r="K8" s="109">
        <f>'Balance Sheet'!K3</f>
        <v>0</v>
      </c>
      <c r="L8" s="109">
        <f>'Balance Sheet'!L3</f>
        <v>0</v>
      </c>
      <c r="M8" s="109">
        <f>'Balance Sheet'!M3</f>
        <v>63005.53</v>
      </c>
      <c r="N8" s="109">
        <f>'Balance Sheet'!N3</f>
        <v>0</v>
      </c>
      <c r="O8" s="109">
        <f>'Balance Sheet'!O3</f>
        <v>0</v>
      </c>
      <c r="P8" s="109">
        <f>'Balance Sheet'!P3</f>
        <v>0</v>
      </c>
      <c r="Q8" s="109">
        <f>'Balance Sheet'!Q3</f>
        <v>0</v>
      </c>
      <c r="R8" s="109">
        <f>'Balance Sheet'!R3</f>
        <v>58114.73</v>
      </c>
      <c r="S8" s="109">
        <f>'Balance Sheet'!S3</f>
        <v>0</v>
      </c>
      <c r="T8" s="109">
        <f>'Balance Sheet'!T3</f>
        <v>0</v>
      </c>
      <c r="U8" s="109">
        <f>'Balance Sheet'!U3</f>
        <v>0</v>
      </c>
      <c r="V8" s="109">
        <f>'Balance Sheet'!V3</f>
        <v>0</v>
      </c>
      <c r="W8" s="109">
        <f>'Balance Sheet'!W3</f>
        <v>54454.75</v>
      </c>
      <c r="X8" s="109">
        <f>'Balance Sheet'!X3</f>
        <v>0</v>
      </c>
      <c r="Y8" s="109">
        <f>'Balance Sheet'!Y3</f>
        <v>0</v>
      </c>
      <c r="Z8" s="109">
        <f>'Balance Sheet'!Z3</f>
        <v>0</v>
      </c>
      <c r="AA8" s="109">
        <f>'Balance Sheet'!AA3</f>
        <v>0</v>
      </c>
      <c r="AB8" s="109">
        <f>AB3+AB4-AB6</f>
        <v>51288.241249999999</v>
      </c>
      <c r="AC8" s="109">
        <f t="shared" ref="AC8:AF8" si="4">AC3+AC4-AC6</f>
        <v>48852.876268749998</v>
      </c>
      <c r="AD8" s="109">
        <f t="shared" si="4"/>
        <v>47042.63920978125</v>
      </c>
      <c r="AE8" s="109">
        <f t="shared" si="4"/>
        <v>45766.88652436297</v>
      </c>
      <c r="AF8" s="109">
        <f t="shared" si="4"/>
        <v>44948.117978330338</v>
      </c>
    </row>
    <row r="10" spans="2:32" x14ac:dyDescent="0.35">
      <c r="R10" s="110"/>
    </row>
    <row r="11" spans="2:32" x14ac:dyDescent="0.35">
      <c r="D11" t="e">
        <f>D14-#REF!</f>
        <v>#REF!</v>
      </c>
      <c r="E11" t="e">
        <f>E14-#REF!</f>
        <v>#REF!</v>
      </c>
      <c r="F11">
        <f t="shared" ref="F11:V11" si="5">F14-A14</f>
        <v>6026</v>
      </c>
      <c r="G11" t="e">
        <f t="shared" si="5"/>
        <v>#VALUE!</v>
      </c>
      <c r="I11">
        <f t="shared" si="5"/>
        <v>434</v>
      </c>
      <c r="J11">
        <f t="shared" si="5"/>
        <v>-3681</v>
      </c>
      <c r="K11">
        <f t="shared" si="5"/>
        <v>-3680</v>
      </c>
      <c r="L11">
        <f t="shared" si="5"/>
        <v>-2141</v>
      </c>
      <c r="N11">
        <f t="shared" si="5"/>
        <v>-4077</v>
      </c>
      <c r="O11">
        <f t="shared" si="5"/>
        <v>-4</v>
      </c>
      <c r="P11">
        <f t="shared" si="5"/>
        <v>-4</v>
      </c>
      <c r="Q11">
        <f t="shared" si="5"/>
        <v>-1586</v>
      </c>
      <c r="S11">
        <f t="shared" si="5"/>
        <v>4</v>
      </c>
      <c r="T11">
        <f t="shared" si="5"/>
        <v>-112</v>
      </c>
      <c r="U11">
        <f t="shared" si="5"/>
        <v>-14</v>
      </c>
      <c r="V11">
        <f t="shared" si="5"/>
        <v>-41</v>
      </c>
    </row>
    <row r="12" spans="2:32" s="98" customFormat="1" x14ac:dyDescent="0.35">
      <c r="B12" s="98" t="s">
        <v>255</v>
      </c>
      <c r="H12" s="107">
        <f>C17</f>
        <v>35343.51</v>
      </c>
      <c r="I12" s="107">
        <f t="shared" ref="I12:AA12" si="6">D17</f>
        <v>0</v>
      </c>
      <c r="J12" s="107">
        <f t="shared" si="6"/>
        <v>0</v>
      </c>
      <c r="K12" s="107">
        <f t="shared" si="6"/>
        <v>0</v>
      </c>
      <c r="L12" s="107">
        <f t="shared" si="6"/>
        <v>0</v>
      </c>
      <c r="M12" s="107">
        <f t="shared" si="6"/>
        <v>58426.61</v>
      </c>
      <c r="N12" s="107">
        <f t="shared" si="6"/>
        <v>0</v>
      </c>
      <c r="O12" s="107">
        <f t="shared" si="6"/>
        <v>0</v>
      </c>
      <c r="P12" s="107">
        <f t="shared" si="6"/>
        <v>0</v>
      </c>
      <c r="Q12" s="107">
        <f t="shared" si="6"/>
        <v>0</v>
      </c>
      <c r="R12" s="107">
        <f t="shared" si="6"/>
        <v>54343.47</v>
      </c>
      <c r="S12" s="107">
        <f t="shared" si="6"/>
        <v>0</v>
      </c>
      <c r="T12" s="107">
        <f t="shared" si="6"/>
        <v>0</v>
      </c>
      <c r="U12" s="107">
        <f t="shared" si="6"/>
        <v>0</v>
      </c>
      <c r="V12" s="107">
        <f t="shared" si="6"/>
        <v>0</v>
      </c>
      <c r="W12" s="107">
        <f t="shared" si="6"/>
        <v>45141.97</v>
      </c>
      <c r="X12" s="107">
        <f t="shared" si="6"/>
        <v>0</v>
      </c>
      <c r="Y12" s="107">
        <f t="shared" si="6"/>
        <v>0</v>
      </c>
      <c r="Z12" s="107">
        <f t="shared" si="6"/>
        <v>0</v>
      </c>
      <c r="AA12" s="107">
        <f t="shared" si="6"/>
        <v>0</v>
      </c>
      <c r="AB12" s="107">
        <f>W17</f>
        <v>36040.5</v>
      </c>
      <c r="AC12" s="107">
        <f>AB17</f>
        <v>2536</v>
      </c>
      <c r="AD12" s="107">
        <f>AC17</f>
        <v>-4441</v>
      </c>
      <c r="AE12" s="107">
        <f>AD17</f>
        <v>-4341</v>
      </c>
      <c r="AF12" s="107">
        <f>AE17</f>
        <v>-4241</v>
      </c>
    </row>
    <row r="13" spans="2:32" s="98" customFormat="1" x14ac:dyDescent="0.35">
      <c r="B13" s="98" t="s">
        <v>252</v>
      </c>
      <c r="H13" s="98">
        <v>0</v>
      </c>
      <c r="M13" s="98">
        <v>0</v>
      </c>
      <c r="R13" s="98">
        <v>0</v>
      </c>
      <c r="W13" s="98">
        <v>0</v>
      </c>
      <c r="AB13" s="124">
        <v>0</v>
      </c>
      <c r="AC13" s="124">
        <v>0</v>
      </c>
      <c r="AD13" s="124">
        <v>0</v>
      </c>
      <c r="AE13" s="124">
        <v>0</v>
      </c>
      <c r="AF13" s="124">
        <v>0</v>
      </c>
    </row>
    <row r="14" spans="2:32" x14ac:dyDescent="0.35">
      <c r="B14" s="102" t="s">
        <v>70</v>
      </c>
      <c r="C14" s="102">
        <f>'Income Statement'!C25</f>
        <v>26785</v>
      </c>
      <c r="D14" s="102">
        <f>'Income Statement'!D25</f>
        <v>5961</v>
      </c>
      <c r="E14" s="102">
        <f>'Income Statement'!E25</f>
        <v>6027</v>
      </c>
      <c r="F14" s="102">
        <f>'Income Statement'!F25</f>
        <v>6026</v>
      </c>
      <c r="G14" s="102">
        <f>'Income Statement'!G25</f>
        <v>6043</v>
      </c>
      <c r="H14" s="102">
        <f>'Income Statement'!H25</f>
        <v>24057</v>
      </c>
      <c r="I14" s="102">
        <f>'Income Statement'!I25</f>
        <v>6395</v>
      </c>
      <c r="J14" s="102">
        <f>'Income Statement'!J25</f>
        <v>2346</v>
      </c>
      <c r="K14" s="102">
        <f>'Income Statement'!K25</f>
        <v>2346</v>
      </c>
      <c r="L14" s="102">
        <f>'Income Statement'!L25</f>
        <v>3902</v>
      </c>
      <c r="M14" s="102">
        <f>'Income Statement'!M25</f>
        <v>14989</v>
      </c>
      <c r="N14" s="102">
        <f>'Income Statement'!N25</f>
        <v>2318</v>
      </c>
      <c r="O14" s="102">
        <f>'Income Statement'!O25</f>
        <v>2342</v>
      </c>
      <c r="P14" s="102">
        <f>'Income Statement'!P25</f>
        <v>2342</v>
      </c>
      <c r="Q14" s="102">
        <f>'Income Statement'!Q25</f>
        <v>2316</v>
      </c>
      <c r="R14" s="102">
        <f>'Income Statement'!R25</f>
        <v>9318</v>
      </c>
      <c r="S14" s="102">
        <f>'Income Statement'!S25</f>
        <v>2322</v>
      </c>
      <c r="T14" s="102">
        <f>'Income Statement'!T25</f>
        <v>2230</v>
      </c>
      <c r="U14" s="102">
        <f>'Income Statement'!U25</f>
        <v>2328</v>
      </c>
      <c r="V14" s="102">
        <f>'Income Statement'!V25</f>
        <v>2275</v>
      </c>
      <c r="W14" s="102">
        <f>'Income Statement'!W25</f>
        <v>9255</v>
      </c>
      <c r="X14" s="102">
        <f>'Income Statement'!X25</f>
        <v>2278</v>
      </c>
      <c r="Y14" s="102">
        <f>'Income Statement'!Y25</f>
        <v>0</v>
      </c>
      <c r="Z14" s="102">
        <f>'Income Statement'!Z25</f>
        <v>0</v>
      </c>
      <c r="AA14" s="102">
        <f>'Income Statement'!AA25</f>
        <v>0</v>
      </c>
      <c r="AB14" s="124">
        <f>W14+100</f>
        <v>9355</v>
      </c>
      <c r="AC14" s="124">
        <f t="shared" ref="AC14" si="7">X14+100</f>
        <v>2378</v>
      </c>
      <c r="AD14" s="124">
        <f>AC14+100</f>
        <v>2478</v>
      </c>
      <c r="AE14" s="124">
        <f>AD14+100</f>
        <v>2578</v>
      </c>
      <c r="AF14" s="124">
        <f>AE14+100</f>
        <v>2678</v>
      </c>
    </row>
    <row r="15" spans="2:32" x14ac:dyDescent="0.35">
      <c r="B15" t="s">
        <v>286</v>
      </c>
      <c r="C15" s="109">
        <f>'Balance Sheet'!C6</f>
        <v>0</v>
      </c>
      <c r="D15" s="109">
        <f>'Balance Sheet'!D6</f>
        <v>0</v>
      </c>
      <c r="E15" s="109">
        <f>'Balance Sheet'!E6</f>
        <v>0</v>
      </c>
      <c r="F15" s="109">
        <f>'Balance Sheet'!F6</f>
        <v>0</v>
      </c>
      <c r="G15" s="109">
        <f>'Balance Sheet'!G6</f>
        <v>0</v>
      </c>
      <c r="H15" s="109">
        <f>'Balance Sheet'!H6</f>
        <v>2415.35</v>
      </c>
      <c r="I15" s="109">
        <f>'Balance Sheet'!I6</f>
        <v>0</v>
      </c>
      <c r="J15" s="109">
        <f>'Balance Sheet'!J6</f>
        <v>0</v>
      </c>
      <c r="K15" s="109">
        <f>'Balance Sheet'!K6</f>
        <v>0</v>
      </c>
      <c r="L15" s="109">
        <f>'Balance Sheet'!L6</f>
        <v>0</v>
      </c>
      <c r="M15" s="109">
        <f>'Balance Sheet'!M6</f>
        <v>6819</v>
      </c>
      <c r="N15" s="109">
        <f>'Balance Sheet'!N6</f>
        <v>0</v>
      </c>
      <c r="O15" s="109">
        <f>'Balance Sheet'!O6</f>
        <v>0</v>
      </c>
      <c r="P15" s="109">
        <f>'Balance Sheet'!P6</f>
        <v>0</v>
      </c>
      <c r="Q15" s="109">
        <f>'Balance Sheet'!Q6</f>
        <v>0</v>
      </c>
      <c r="R15" s="109">
        <f>'Balance Sheet'!R6</f>
        <v>6819</v>
      </c>
      <c r="S15" s="109">
        <f>'Balance Sheet'!S6</f>
        <v>0</v>
      </c>
      <c r="T15" s="109">
        <f>'Balance Sheet'!T6</f>
        <v>0</v>
      </c>
      <c r="U15" s="109">
        <f>'Balance Sheet'!U6</f>
        <v>0</v>
      </c>
      <c r="V15" s="109">
        <f>'Balance Sheet'!V6</f>
        <v>0</v>
      </c>
      <c r="W15" s="109">
        <f>'Balance Sheet'!W6</f>
        <v>6819</v>
      </c>
      <c r="X15" s="109">
        <f>'Balance Sheet'!X6</f>
        <v>0</v>
      </c>
      <c r="Y15" s="109">
        <f>'Balance Sheet'!Y6</f>
        <v>0</v>
      </c>
      <c r="Z15" s="109">
        <f>'Balance Sheet'!Z6</f>
        <v>0</v>
      </c>
      <c r="AA15" s="109">
        <f>'Balance Sheet'!AA6</f>
        <v>0</v>
      </c>
      <c r="AB15" s="109">
        <v>6819</v>
      </c>
      <c r="AC15" s="109">
        <v>6819</v>
      </c>
      <c r="AD15" s="109">
        <v>6819</v>
      </c>
      <c r="AE15" s="109">
        <v>6819</v>
      </c>
      <c r="AF15" s="109">
        <v>6819</v>
      </c>
    </row>
    <row r="16" spans="2:32" x14ac:dyDescent="0.35">
      <c r="B16" t="s">
        <v>287</v>
      </c>
      <c r="C16" s="109">
        <f>'Balance Sheet'!C7</f>
        <v>35343.51</v>
      </c>
      <c r="D16" s="109">
        <f>'Balance Sheet'!D7</f>
        <v>0</v>
      </c>
      <c r="E16" s="109">
        <f>'Balance Sheet'!E7</f>
        <v>0</v>
      </c>
      <c r="F16" s="109">
        <f>'Balance Sheet'!F7</f>
        <v>0</v>
      </c>
      <c r="G16" s="109">
        <f>'Balance Sheet'!G7</f>
        <v>0</v>
      </c>
      <c r="H16" s="109">
        <f>'Balance Sheet'!H7</f>
        <v>56011.26</v>
      </c>
      <c r="I16" s="109">
        <f>'Balance Sheet'!I7</f>
        <v>0</v>
      </c>
      <c r="J16" s="109">
        <f>'Balance Sheet'!J7</f>
        <v>0</v>
      </c>
      <c r="K16" s="109">
        <f>'Balance Sheet'!K7</f>
        <v>0</v>
      </c>
      <c r="L16" s="109">
        <f>'Balance Sheet'!L7</f>
        <v>0</v>
      </c>
      <c r="M16" s="109">
        <f>'Balance Sheet'!M7</f>
        <v>47524.47</v>
      </c>
      <c r="N16" s="109">
        <f>'Balance Sheet'!N7</f>
        <v>0</v>
      </c>
      <c r="O16" s="109">
        <f>'Balance Sheet'!O7</f>
        <v>0</v>
      </c>
      <c r="P16" s="109">
        <f>'Balance Sheet'!P7</f>
        <v>0</v>
      </c>
      <c r="Q16" s="109">
        <f>'Balance Sheet'!Q7</f>
        <v>0</v>
      </c>
      <c r="R16" s="109">
        <f>'Balance Sheet'!R7</f>
        <v>38322.97</v>
      </c>
      <c r="S16" s="109">
        <f>'Balance Sheet'!S7</f>
        <v>0</v>
      </c>
      <c r="T16" s="109">
        <f>'Balance Sheet'!T7</f>
        <v>0</v>
      </c>
      <c r="U16" s="109">
        <f>'Balance Sheet'!U7</f>
        <v>0</v>
      </c>
      <c r="V16" s="109">
        <f>'Balance Sheet'!V7</f>
        <v>0</v>
      </c>
      <c r="W16" s="109">
        <f>'Balance Sheet'!W7</f>
        <v>29221.5</v>
      </c>
      <c r="X16" s="109">
        <f>'Balance Sheet'!X7</f>
        <v>0</v>
      </c>
      <c r="Y16" s="109">
        <f>'Balance Sheet'!Y7</f>
        <v>0</v>
      </c>
      <c r="Z16" s="109">
        <f>'Balance Sheet'!Z7</f>
        <v>0</v>
      </c>
      <c r="AA16" s="109">
        <f>'Balance Sheet'!AA7</f>
        <v>0</v>
      </c>
      <c r="AB16" s="109">
        <f>AB17-AB15</f>
        <v>-4283</v>
      </c>
      <c r="AC16" s="109">
        <f t="shared" ref="AC16:AF16" si="8">AC17-AC15</f>
        <v>-11260</v>
      </c>
      <c r="AD16" s="109">
        <f t="shared" si="8"/>
        <v>-11160</v>
      </c>
      <c r="AE16" s="109">
        <f t="shared" si="8"/>
        <v>-11060</v>
      </c>
      <c r="AF16" s="109">
        <f t="shared" si="8"/>
        <v>-10960</v>
      </c>
    </row>
    <row r="17" spans="2:32" s="98" customFormat="1" x14ac:dyDescent="0.35">
      <c r="B17" s="98" t="s">
        <v>256</v>
      </c>
      <c r="C17" s="107">
        <f>C15+C16</f>
        <v>35343.51</v>
      </c>
      <c r="D17" s="107">
        <f t="shared" ref="D17:AA17" si="9">D15+D16</f>
        <v>0</v>
      </c>
      <c r="E17" s="107">
        <f t="shared" si="9"/>
        <v>0</v>
      </c>
      <c r="F17" s="107">
        <f t="shared" si="9"/>
        <v>0</v>
      </c>
      <c r="G17" s="107">
        <f t="shared" si="9"/>
        <v>0</v>
      </c>
      <c r="H17" s="107">
        <f t="shared" si="9"/>
        <v>58426.61</v>
      </c>
      <c r="I17" s="107">
        <f t="shared" si="9"/>
        <v>0</v>
      </c>
      <c r="J17" s="107">
        <f t="shared" si="9"/>
        <v>0</v>
      </c>
      <c r="K17" s="107">
        <f t="shared" si="9"/>
        <v>0</v>
      </c>
      <c r="L17" s="107">
        <f t="shared" si="9"/>
        <v>0</v>
      </c>
      <c r="M17" s="107">
        <f t="shared" si="9"/>
        <v>54343.47</v>
      </c>
      <c r="N17" s="107">
        <f t="shared" si="9"/>
        <v>0</v>
      </c>
      <c r="O17" s="107">
        <f t="shared" si="9"/>
        <v>0</v>
      </c>
      <c r="P17" s="107">
        <f t="shared" si="9"/>
        <v>0</v>
      </c>
      <c r="Q17" s="107">
        <f t="shared" si="9"/>
        <v>0</v>
      </c>
      <c r="R17" s="107">
        <f t="shared" si="9"/>
        <v>45141.97</v>
      </c>
      <c r="S17" s="107">
        <f t="shared" si="9"/>
        <v>0</v>
      </c>
      <c r="T17" s="107">
        <f t="shared" si="9"/>
        <v>0</v>
      </c>
      <c r="U17" s="107">
        <f t="shared" si="9"/>
        <v>0</v>
      </c>
      <c r="V17" s="107">
        <f t="shared" si="9"/>
        <v>0</v>
      </c>
      <c r="W17" s="107">
        <f t="shared" si="9"/>
        <v>36040.5</v>
      </c>
      <c r="X17" s="107">
        <f t="shared" si="9"/>
        <v>0</v>
      </c>
      <c r="Y17" s="107">
        <f t="shared" si="9"/>
        <v>0</v>
      </c>
      <c r="Z17" s="107">
        <f t="shared" si="9"/>
        <v>0</v>
      </c>
      <c r="AA17" s="107">
        <f t="shared" si="9"/>
        <v>0</v>
      </c>
      <c r="AB17" s="107">
        <f>AB13+AB14-AB15</f>
        <v>2536</v>
      </c>
      <c r="AC17" s="107">
        <f t="shared" ref="AC17:AF17" si="10">AC13+AC14-AC15</f>
        <v>-4441</v>
      </c>
      <c r="AD17" s="107">
        <f t="shared" si="10"/>
        <v>-4341</v>
      </c>
      <c r="AE17" s="107">
        <f t="shared" si="10"/>
        <v>-4241</v>
      </c>
      <c r="AF17" s="107">
        <f t="shared" si="10"/>
        <v>-4141</v>
      </c>
    </row>
    <row r="18" spans="2:32" x14ac:dyDescent="0.35"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</row>
    <row r="19" spans="2:32" s="98" customFormat="1" x14ac:dyDescent="0.35">
      <c r="B19" s="98" t="s">
        <v>71</v>
      </c>
      <c r="C19" s="107">
        <f>C6+C15</f>
        <v>9910</v>
      </c>
      <c r="D19" s="107">
        <f t="shared" ref="D19:AA19" si="11">D6+D15</f>
        <v>2339</v>
      </c>
      <c r="E19" s="107">
        <f t="shared" si="11"/>
        <v>2361</v>
      </c>
      <c r="F19" s="107">
        <f t="shared" si="11"/>
        <v>2418</v>
      </c>
      <c r="G19" s="107">
        <f t="shared" si="11"/>
        <v>2303</v>
      </c>
      <c r="H19" s="107">
        <f t="shared" si="11"/>
        <v>11836.35</v>
      </c>
      <c r="I19" s="107">
        <f t="shared" si="11"/>
        <v>2416</v>
      </c>
      <c r="J19" s="107">
        <f t="shared" si="11"/>
        <v>2447</v>
      </c>
      <c r="K19" s="107">
        <f t="shared" si="11"/>
        <v>2378</v>
      </c>
      <c r="L19" s="107">
        <f t="shared" si="11"/>
        <v>2495</v>
      </c>
      <c r="M19" s="107">
        <f t="shared" si="11"/>
        <v>16555</v>
      </c>
      <c r="N19" s="107">
        <f t="shared" si="11"/>
        <v>2282</v>
      </c>
      <c r="O19" s="107">
        <f t="shared" si="11"/>
        <v>2267</v>
      </c>
      <c r="P19" s="107">
        <f t="shared" si="11"/>
        <v>2239</v>
      </c>
      <c r="Q19" s="107">
        <f t="shared" si="11"/>
        <v>8566</v>
      </c>
      <c r="R19" s="107">
        <f t="shared" si="11"/>
        <v>16091</v>
      </c>
      <c r="S19" s="107">
        <f t="shared" si="11"/>
        <v>2121</v>
      </c>
      <c r="T19" s="107">
        <f t="shared" si="11"/>
        <v>2135</v>
      </c>
      <c r="U19" s="107">
        <f t="shared" si="11"/>
        <v>2232</v>
      </c>
      <c r="V19" s="107">
        <f t="shared" si="11"/>
        <v>2078</v>
      </c>
      <c r="W19" s="107">
        <f t="shared" si="11"/>
        <v>15385</v>
      </c>
      <c r="X19" s="107">
        <f t="shared" si="11"/>
        <v>2172</v>
      </c>
      <c r="Y19" s="107">
        <f t="shared" si="11"/>
        <v>0</v>
      </c>
      <c r="Z19" s="107">
        <f t="shared" si="11"/>
        <v>0</v>
      </c>
      <c r="AA19" s="107">
        <f t="shared" si="11"/>
        <v>0</v>
      </c>
      <c r="AB19" s="107">
        <f>AB6+AB14</f>
        <v>17250.938750000001</v>
      </c>
      <c r="AC19" s="107">
        <f t="shared" ref="AC19:AF19" si="12">AC6+AC14</f>
        <v>9814.7949812499992</v>
      </c>
      <c r="AD19" s="107">
        <f t="shared" si="12"/>
        <v>9561.6670589687492</v>
      </c>
      <c r="AE19" s="107">
        <f t="shared" si="12"/>
        <v>9399.18268541828</v>
      </c>
      <c r="AF19" s="107">
        <f t="shared" si="12"/>
        <v>9314.1985460326305</v>
      </c>
    </row>
    <row r="20" spans="2:32" s="98" customFormat="1" x14ac:dyDescent="0.35">
      <c r="B20" s="98" t="s">
        <v>257</v>
      </c>
      <c r="C20" s="107">
        <f>C4+C13</f>
        <v>3369.02</v>
      </c>
      <c r="D20" s="107">
        <f t="shared" ref="D20:AA20" si="13">D4+D13</f>
        <v>0</v>
      </c>
      <c r="E20" s="107">
        <f t="shared" si="13"/>
        <v>0</v>
      </c>
      <c r="F20" s="107">
        <f t="shared" si="13"/>
        <v>0</v>
      </c>
      <c r="G20" s="107">
        <f t="shared" si="13"/>
        <v>0</v>
      </c>
      <c r="H20" s="107">
        <f t="shared" si="13"/>
        <v>48356.160000000003</v>
      </c>
      <c r="I20" s="107">
        <f t="shared" si="13"/>
        <v>0</v>
      </c>
      <c r="J20" s="107">
        <f t="shared" si="13"/>
        <v>0</v>
      </c>
      <c r="K20" s="107">
        <f t="shared" si="13"/>
        <v>0</v>
      </c>
      <c r="L20" s="107">
        <f t="shared" si="13"/>
        <v>0</v>
      </c>
      <c r="M20" s="107">
        <f t="shared" si="13"/>
        <v>4045.88</v>
      </c>
      <c r="N20" s="107">
        <f t="shared" si="13"/>
        <v>0</v>
      </c>
      <c r="O20" s="107">
        <f t="shared" si="13"/>
        <v>0</v>
      </c>
      <c r="P20" s="107">
        <f t="shared" si="13"/>
        <v>0</v>
      </c>
      <c r="Q20" s="107">
        <f t="shared" si="13"/>
        <v>0</v>
      </c>
      <c r="R20" s="107">
        <f t="shared" si="13"/>
        <v>4058.51</v>
      </c>
      <c r="S20" s="107">
        <f t="shared" si="13"/>
        <v>0</v>
      </c>
      <c r="T20" s="107">
        <f t="shared" si="13"/>
        <v>0</v>
      </c>
      <c r="U20" s="107">
        <f t="shared" si="13"/>
        <v>0</v>
      </c>
      <c r="V20" s="107">
        <f t="shared" si="13"/>
        <v>0</v>
      </c>
      <c r="W20" s="107">
        <f t="shared" si="13"/>
        <v>4457.43</v>
      </c>
      <c r="X20" s="107">
        <f t="shared" si="13"/>
        <v>0</v>
      </c>
      <c r="Y20" s="107">
        <f t="shared" si="13"/>
        <v>0</v>
      </c>
      <c r="Z20" s="107">
        <f t="shared" si="13"/>
        <v>0</v>
      </c>
      <c r="AA20" s="107">
        <f t="shared" si="13"/>
        <v>0</v>
      </c>
      <c r="AB20" s="107">
        <f>AB4+AB13</f>
        <v>4729.43</v>
      </c>
      <c r="AC20" s="107">
        <f t="shared" ref="AC20:AF20" si="14">AC4+AC13</f>
        <v>5001.43</v>
      </c>
      <c r="AD20" s="107">
        <f t="shared" si="14"/>
        <v>5273.43</v>
      </c>
      <c r="AE20" s="107">
        <f t="shared" si="14"/>
        <v>5545.43</v>
      </c>
      <c r="AF20" s="107">
        <f t="shared" si="14"/>
        <v>5817.43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4706-20F5-47F5-910F-D9348D64A7A2}">
  <dimension ref="B1:AF15"/>
  <sheetViews>
    <sheetView zoomScale="102" zoomScaleNormal="100" workbookViewId="0">
      <selection activeCell="AI15" sqref="AI15"/>
    </sheetView>
  </sheetViews>
  <sheetFormatPr defaultRowHeight="14.5" outlineLevelCol="1" x14ac:dyDescent="0.35"/>
  <cols>
    <col min="2" max="2" width="28.453125" customWidth="1"/>
    <col min="3" max="3" width="9.26953125" customWidth="1" collapsed="1"/>
    <col min="4" max="7" width="9.1796875" hidden="1" customWidth="1" outlineLevel="1"/>
    <col min="8" max="8" width="9" customWidth="1" collapsed="1"/>
    <col min="9" max="12" width="9.1796875" hidden="1" customWidth="1" outlineLevel="1"/>
    <col min="13" max="13" width="9.7265625" bestFit="1" customWidth="1" collapsed="1"/>
    <col min="14" max="17" width="9.1796875" hidden="1" customWidth="1" outlineLevel="1"/>
    <col min="18" max="18" width="9.7265625" bestFit="1" customWidth="1" collapsed="1"/>
    <col min="19" max="22" width="9.1796875" hidden="1" customWidth="1" outlineLevel="1"/>
    <col min="23" max="23" width="11.453125" bestFit="1" customWidth="1" collapsed="1"/>
    <col min="24" max="27" width="9.1796875" hidden="1" customWidth="1" outlineLevel="1"/>
    <col min="28" max="28" width="9.1796875" customWidth="1" collapsed="1"/>
    <col min="29" max="32" width="9.81640625" bestFit="1" customWidth="1"/>
  </cols>
  <sheetData>
    <row r="1" spans="2:32" x14ac:dyDescent="0.35">
      <c r="B1" s="91" t="s">
        <v>140</v>
      </c>
      <c r="C1" s="92" t="s">
        <v>20</v>
      </c>
      <c r="D1" s="93" t="s">
        <v>21</v>
      </c>
      <c r="E1" s="93" t="s">
        <v>22</v>
      </c>
      <c r="F1" s="93" t="s">
        <v>23</v>
      </c>
      <c r="G1" s="93" t="s">
        <v>24</v>
      </c>
      <c r="H1" s="92" t="s">
        <v>25</v>
      </c>
      <c r="I1" s="93" t="s">
        <v>26</v>
      </c>
      <c r="J1" s="93" t="s">
        <v>27</v>
      </c>
      <c r="K1" s="93" t="s">
        <v>28</v>
      </c>
      <c r="L1" s="93" t="s">
        <v>29</v>
      </c>
      <c r="M1" s="92" t="s">
        <v>30</v>
      </c>
      <c r="N1" s="93" t="s">
        <v>31</v>
      </c>
      <c r="O1" s="93" t="s">
        <v>32</v>
      </c>
      <c r="P1" s="93" t="s">
        <v>33</v>
      </c>
      <c r="Q1" s="93" t="s">
        <v>34</v>
      </c>
      <c r="R1" s="92" t="s">
        <v>35</v>
      </c>
      <c r="S1" s="93" t="s">
        <v>36</v>
      </c>
      <c r="T1" s="93" t="s">
        <v>37</v>
      </c>
      <c r="U1" s="93" t="s">
        <v>38</v>
      </c>
      <c r="V1" s="93" t="s">
        <v>39</v>
      </c>
      <c r="W1" s="92" t="s">
        <v>40</v>
      </c>
      <c r="X1" s="94" t="s">
        <v>41</v>
      </c>
      <c r="Y1" s="95" t="s">
        <v>42</v>
      </c>
      <c r="Z1" s="95" t="s">
        <v>43</v>
      </c>
      <c r="AA1" s="95" t="s">
        <v>44</v>
      </c>
      <c r="AB1" s="95" t="s">
        <v>45</v>
      </c>
      <c r="AC1" s="95" t="s">
        <v>46</v>
      </c>
      <c r="AD1" s="95" t="s">
        <v>47</v>
      </c>
      <c r="AE1" s="95" t="s">
        <v>48</v>
      </c>
      <c r="AF1" s="95" t="s">
        <v>49</v>
      </c>
    </row>
    <row r="3" spans="2:32" x14ac:dyDescent="0.35">
      <c r="B3" t="s">
        <v>130</v>
      </c>
      <c r="C3" s="109">
        <v>0</v>
      </c>
      <c r="D3" s="109">
        <v>1</v>
      </c>
      <c r="E3" s="109">
        <v>2</v>
      </c>
      <c r="F3" s="109">
        <v>3</v>
      </c>
      <c r="G3" s="109">
        <v>4</v>
      </c>
      <c r="H3" s="109">
        <v>0</v>
      </c>
      <c r="I3" s="109">
        <v>6</v>
      </c>
      <c r="J3" s="109">
        <v>7</v>
      </c>
      <c r="K3" s="109">
        <v>8</v>
      </c>
      <c r="L3" s="109">
        <v>9</v>
      </c>
      <c r="M3" s="109">
        <v>0</v>
      </c>
      <c r="N3" s="109"/>
      <c r="O3" s="109"/>
      <c r="P3" s="109"/>
      <c r="Q3" s="109"/>
      <c r="R3" s="109">
        <v>0</v>
      </c>
      <c r="S3" s="109"/>
      <c r="T3" s="109"/>
      <c r="U3" s="109"/>
      <c r="V3" s="109"/>
      <c r="W3" s="109">
        <v>0</v>
      </c>
      <c r="X3" s="109"/>
      <c r="Y3" s="109"/>
      <c r="Z3" s="109"/>
      <c r="AA3" s="109"/>
      <c r="AB3" s="109">
        <v>0</v>
      </c>
      <c r="AC3" s="109">
        <v>0</v>
      </c>
      <c r="AD3" s="109">
        <v>0</v>
      </c>
      <c r="AE3" s="109">
        <v>0</v>
      </c>
      <c r="AF3" s="109">
        <v>0</v>
      </c>
    </row>
    <row r="4" spans="2:32" x14ac:dyDescent="0.35">
      <c r="B4" t="s">
        <v>125</v>
      </c>
      <c r="C4" s="109">
        <f>'Balance Sheet'!C47</f>
        <v>2296.58</v>
      </c>
      <c r="D4" s="109">
        <f>'Balance Sheet'!D47</f>
        <v>0</v>
      </c>
      <c r="E4" s="109">
        <f>'Balance Sheet'!E47</f>
        <v>0</v>
      </c>
      <c r="F4" s="109">
        <f>'Balance Sheet'!F47</f>
        <v>0</v>
      </c>
      <c r="G4" s="109">
        <f>'Balance Sheet'!G47</f>
        <v>0</v>
      </c>
      <c r="H4" s="109">
        <f>'Balance Sheet'!H47</f>
        <v>2523.13</v>
      </c>
      <c r="I4" s="109">
        <f>'Balance Sheet'!I47</f>
        <v>0</v>
      </c>
      <c r="J4" s="109">
        <f>'Balance Sheet'!J47</f>
        <v>0</v>
      </c>
      <c r="K4" s="109">
        <f>'Balance Sheet'!K47</f>
        <v>0</v>
      </c>
      <c r="L4" s="109">
        <f>'Balance Sheet'!L47</f>
        <v>0</v>
      </c>
      <c r="M4" s="109">
        <f>'Balance Sheet'!M47</f>
        <v>2769.92</v>
      </c>
      <c r="N4" s="109">
        <f>'Balance Sheet'!N47</f>
        <v>0</v>
      </c>
      <c r="O4" s="109">
        <f>'Balance Sheet'!O47</f>
        <v>0</v>
      </c>
      <c r="P4" s="109">
        <f>'Balance Sheet'!P47</f>
        <v>0</v>
      </c>
      <c r="Q4" s="109">
        <f>'Balance Sheet'!Q47</f>
        <v>0</v>
      </c>
      <c r="R4" s="109">
        <f>'Balance Sheet'!R47</f>
        <v>1532.08</v>
      </c>
      <c r="S4" s="109">
        <f>'Balance Sheet'!S47</f>
        <v>0</v>
      </c>
      <c r="T4" s="109">
        <f>'Balance Sheet'!T47</f>
        <v>0</v>
      </c>
      <c r="U4" s="109">
        <f>'Balance Sheet'!U47</f>
        <v>0</v>
      </c>
      <c r="V4" s="109">
        <f>'Balance Sheet'!V47</f>
        <v>0</v>
      </c>
      <c r="W4" s="109">
        <f>'Balance Sheet'!W47</f>
        <v>1929.19</v>
      </c>
      <c r="X4" s="109">
        <f>'Balance Sheet'!X47</f>
        <v>0</v>
      </c>
      <c r="Y4" s="109">
        <f>'Balance Sheet'!Y47</f>
        <v>0</v>
      </c>
      <c r="Z4" s="109">
        <f>'Balance Sheet'!Z47</f>
        <v>0</v>
      </c>
      <c r="AA4" s="109">
        <f>'Balance Sheet'!AA47</f>
        <v>0</v>
      </c>
      <c r="AB4" s="109">
        <v>2000</v>
      </c>
      <c r="AC4" s="109">
        <v>2000</v>
      </c>
      <c r="AD4" s="109">
        <v>2000</v>
      </c>
      <c r="AE4" s="109">
        <v>2000</v>
      </c>
      <c r="AF4" s="109">
        <v>2000</v>
      </c>
    </row>
    <row r="5" spans="2:32" s="98" customFormat="1" x14ac:dyDescent="0.35">
      <c r="B5" s="98" t="s">
        <v>258</v>
      </c>
      <c r="C5" s="107">
        <f>C3+C4</f>
        <v>2296.58</v>
      </c>
      <c r="D5" s="107">
        <f t="shared" ref="D5:AC5" si="0">D3+D4</f>
        <v>1</v>
      </c>
      <c r="E5" s="107">
        <f t="shared" si="0"/>
        <v>2</v>
      </c>
      <c r="F5" s="107">
        <f t="shared" si="0"/>
        <v>3</v>
      </c>
      <c r="G5" s="107">
        <f t="shared" si="0"/>
        <v>4</v>
      </c>
      <c r="H5" s="107">
        <f t="shared" si="0"/>
        <v>2523.13</v>
      </c>
      <c r="I5" s="107">
        <f t="shared" si="0"/>
        <v>6</v>
      </c>
      <c r="J5" s="107">
        <f t="shared" si="0"/>
        <v>7</v>
      </c>
      <c r="K5" s="107">
        <f t="shared" si="0"/>
        <v>8</v>
      </c>
      <c r="L5" s="107">
        <f t="shared" si="0"/>
        <v>9</v>
      </c>
      <c r="M5" s="107">
        <f t="shared" si="0"/>
        <v>2769.92</v>
      </c>
      <c r="N5" s="107">
        <f t="shared" si="0"/>
        <v>0</v>
      </c>
      <c r="O5" s="107">
        <f t="shared" si="0"/>
        <v>0</v>
      </c>
      <c r="P5" s="107">
        <f t="shared" si="0"/>
        <v>0</v>
      </c>
      <c r="Q5" s="107">
        <f t="shared" si="0"/>
        <v>0</v>
      </c>
      <c r="R5" s="107">
        <f t="shared" si="0"/>
        <v>1532.08</v>
      </c>
      <c r="S5" s="107">
        <f t="shared" si="0"/>
        <v>0</v>
      </c>
      <c r="T5" s="107">
        <f t="shared" si="0"/>
        <v>0</v>
      </c>
      <c r="U5" s="107">
        <f t="shared" si="0"/>
        <v>0</v>
      </c>
      <c r="V5" s="107">
        <f t="shared" si="0"/>
        <v>0</v>
      </c>
      <c r="W5" s="107">
        <f t="shared" si="0"/>
        <v>1929.19</v>
      </c>
      <c r="X5" s="107">
        <f t="shared" si="0"/>
        <v>0</v>
      </c>
      <c r="Y5" s="107">
        <f t="shared" si="0"/>
        <v>0</v>
      </c>
      <c r="Z5" s="107">
        <f t="shared" si="0"/>
        <v>0</v>
      </c>
      <c r="AA5" s="107">
        <f t="shared" si="0"/>
        <v>0</v>
      </c>
      <c r="AB5" s="107">
        <f t="shared" si="0"/>
        <v>2000</v>
      </c>
      <c r="AC5" s="107">
        <f t="shared" si="0"/>
        <v>2000</v>
      </c>
      <c r="AD5" s="107">
        <f>AD3+AD4</f>
        <v>2000</v>
      </c>
      <c r="AE5" s="107">
        <f t="shared" ref="AE5" si="1">AE3+AE4</f>
        <v>2000</v>
      </c>
      <c r="AF5" s="107">
        <f t="shared" ref="AF5" si="2">AF3+AF4</f>
        <v>2000</v>
      </c>
    </row>
    <row r="6" spans="2:32" x14ac:dyDescent="0.35">
      <c r="C6" s="27"/>
      <c r="D6" s="27" t="e">
        <f>D7-#REF!</f>
        <v>#REF!</v>
      </c>
      <c r="E6" s="27" t="e">
        <f>E7-#REF!</f>
        <v>#REF!</v>
      </c>
      <c r="F6" s="27">
        <f t="shared" ref="F6:G6" si="3">F7-A7</f>
        <v>0</v>
      </c>
      <c r="G6" s="27" t="e">
        <f t="shared" si="3"/>
        <v>#VALUE!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</row>
    <row r="7" spans="2:32" x14ac:dyDescent="0.35">
      <c r="B7" t="s">
        <v>130</v>
      </c>
      <c r="C7" s="109">
        <f>'Balance Sheet'!C53</f>
        <v>9190.93</v>
      </c>
      <c r="D7" s="109">
        <f>'Balance Sheet'!D53</f>
        <v>0</v>
      </c>
      <c r="E7" s="109">
        <f>'Balance Sheet'!E53</f>
        <v>0</v>
      </c>
      <c r="F7" s="109">
        <f>'Balance Sheet'!F53</f>
        <v>0</v>
      </c>
      <c r="G7" s="109">
        <f>'Balance Sheet'!G53</f>
        <v>0</v>
      </c>
      <c r="H7" s="109">
        <f>'Balance Sheet'!H53</f>
        <v>26371.119999999999</v>
      </c>
      <c r="I7" s="109">
        <f>'Balance Sheet'!I53</f>
        <v>0</v>
      </c>
      <c r="J7" s="109">
        <f>'Balance Sheet'!J53</f>
        <v>0</v>
      </c>
      <c r="K7" s="109">
        <f>'Balance Sheet'!K53</f>
        <v>0</v>
      </c>
      <c r="L7" s="109">
        <f>'Balance Sheet'!L53</f>
        <v>0</v>
      </c>
      <c r="M7" s="109">
        <f>'Balance Sheet'!M53</f>
        <v>7360.85</v>
      </c>
      <c r="N7" s="109">
        <f>'Balance Sheet'!N53</f>
        <v>0</v>
      </c>
      <c r="O7" s="109">
        <f>'Balance Sheet'!O53</f>
        <v>0</v>
      </c>
      <c r="P7" s="109">
        <f>'Balance Sheet'!P53</f>
        <v>0</v>
      </c>
      <c r="Q7" s="109">
        <f>'Balance Sheet'!Q53</f>
        <v>0</v>
      </c>
      <c r="R7" s="109">
        <f>'Balance Sheet'!R53</f>
        <v>6568.92</v>
      </c>
      <c r="S7" s="109">
        <f>'Balance Sheet'!S53</f>
        <v>0</v>
      </c>
      <c r="T7" s="109">
        <f>'Balance Sheet'!T53</f>
        <v>0</v>
      </c>
      <c r="U7" s="109">
        <f>'Balance Sheet'!U53</f>
        <v>0</v>
      </c>
      <c r="V7" s="109">
        <f>'Balance Sheet'!V53</f>
        <v>0</v>
      </c>
      <c r="W7" s="109">
        <f>'Balance Sheet'!W53</f>
        <v>6208.47</v>
      </c>
      <c r="AB7" s="125">
        <v>7500</v>
      </c>
      <c r="AC7" s="125">
        <v>7500</v>
      </c>
      <c r="AD7" s="125">
        <v>7500</v>
      </c>
      <c r="AE7" s="125">
        <v>7500</v>
      </c>
      <c r="AF7" s="125">
        <v>7500</v>
      </c>
    </row>
    <row r="8" spans="2:32" x14ac:dyDescent="0.35">
      <c r="B8" t="s">
        <v>125</v>
      </c>
      <c r="C8" s="109">
        <f>'Balance Sheet'!C60</f>
        <v>14284.79</v>
      </c>
      <c r="D8" s="109">
        <f>'Balance Sheet'!D60</f>
        <v>0</v>
      </c>
      <c r="E8" s="109">
        <f>'Balance Sheet'!E60</f>
        <v>0</v>
      </c>
      <c r="F8" s="109">
        <f>'Balance Sheet'!F60</f>
        <v>0</v>
      </c>
      <c r="G8" s="109">
        <f>'Balance Sheet'!G60</f>
        <v>0</v>
      </c>
      <c r="H8" s="109">
        <f>'Balance Sheet'!H60</f>
        <v>14641.92</v>
      </c>
      <c r="I8" s="109">
        <f>'Balance Sheet'!I60</f>
        <v>0</v>
      </c>
      <c r="J8" s="109">
        <f>'Balance Sheet'!J60</f>
        <v>0</v>
      </c>
      <c r="K8" s="109">
        <f>'Balance Sheet'!K60</f>
        <v>0</v>
      </c>
      <c r="L8" s="109">
        <f>'Balance Sheet'!L60</f>
        <v>0</v>
      </c>
      <c r="M8" s="109">
        <f>'Balance Sheet'!M60</f>
        <v>11899.69</v>
      </c>
      <c r="N8" s="109">
        <f>'Balance Sheet'!N60</f>
        <v>0</v>
      </c>
      <c r="O8" s="109">
        <f>'Balance Sheet'!O60</f>
        <v>0</v>
      </c>
      <c r="P8" s="109">
        <f>'Balance Sheet'!P60</f>
        <v>0</v>
      </c>
      <c r="Q8" s="109">
        <f>'Balance Sheet'!Q60</f>
        <v>0</v>
      </c>
      <c r="R8" s="109">
        <f>'Balance Sheet'!R60</f>
        <v>11028.83</v>
      </c>
      <c r="S8" s="109">
        <f>'Balance Sheet'!S60</f>
        <v>0</v>
      </c>
      <c r="T8" s="109">
        <f>'Balance Sheet'!T60</f>
        <v>0</v>
      </c>
      <c r="U8" s="109">
        <f>'Balance Sheet'!U60</f>
        <v>0</v>
      </c>
      <c r="V8" s="109">
        <f>'Balance Sheet'!V60</f>
        <v>0</v>
      </c>
      <c r="W8" s="109">
        <f>'Balance Sheet'!W60</f>
        <v>8532.3799999999992</v>
      </c>
      <c r="AB8" s="125">
        <f>W8+1700</f>
        <v>10232.379999999999</v>
      </c>
      <c r="AC8" s="125">
        <f>AB8+1700</f>
        <v>11932.38</v>
      </c>
      <c r="AD8" s="125">
        <f t="shared" ref="AD8:AE8" si="4">AC8+1700</f>
        <v>13632.38</v>
      </c>
      <c r="AE8" s="125">
        <f t="shared" si="4"/>
        <v>15332.38</v>
      </c>
      <c r="AF8" s="125">
        <f>AE8+1700</f>
        <v>17032.379999999997</v>
      </c>
    </row>
    <row r="9" spans="2:32" s="98" customFormat="1" x14ac:dyDescent="0.35">
      <c r="B9" s="98" t="s">
        <v>259</v>
      </c>
      <c r="C9" s="107">
        <f>C7+C8</f>
        <v>23475.72</v>
      </c>
      <c r="D9" s="107">
        <f t="shared" ref="D9:W9" si="5">D7+D8</f>
        <v>0</v>
      </c>
      <c r="E9" s="107">
        <f t="shared" si="5"/>
        <v>0</v>
      </c>
      <c r="F9" s="107">
        <f t="shared" si="5"/>
        <v>0</v>
      </c>
      <c r="G9" s="107">
        <f t="shared" si="5"/>
        <v>0</v>
      </c>
      <c r="H9" s="107">
        <f t="shared" si="5"/>
        <v>41013.040000000001</v>
      </c>
      <c r="I9" s="107">
        <f t="shared" si="5"/>
        <v>0</v>
      </c>
      <c r="J9" s="107">
        <f t="shared" si="5"/>
        <v>0</v>
      </c>
      <c r="K9" s="107">
        <f t="shared" si="5"/>
        <v>0</v>
      </c>
      <c r="L9" s="107">
        <f t="shared" si="5"/>
        <v>0</v>
      </c>
      <c r="M9" s="107">
        <f t="shared" si="5"/>
        <v>19260.54</v>
      </c>
      <c r="N9" s="107">
        <f t="shared" si="5"/>
        <v>0</v>
      </c>
      <c r="O9" s="107">
        <f t="shared" si="5"/>
        <v>0</v>
      </c>
      <c r="P9" s="107">
        <f t="shared" si="5"/>
        <v>0</v>
      </c>
      <c r="Q9" s="107">
        <f t="shared" si="5"/>
        <v>0</v>
      </c>
      <c r="R9" s="107">
        <f t="shared" si="5"/>
        <v>17597.75</v>
      </c>
      <c r="S9" s="107">
        <f t="shared" si="5"/>
        <v>0</v>
      </c>
      <c r="T9" s="107">
        <f t="shared" si="5"/>
        <v>0</v>
      </c>
      <c r="U9" s="107">
        <f t="shared" si="5"/>
        <v>0</v>
      </c>
      <c r="V9" s="107">
        <f t="shared" si="5"/>
        <v>0</v>
      </c>
      <c r="W9" s="107">
        <f t="shared" si="5"/>
        <v>14740.849999999999</v>
      </c>
      <c r="AB9" s="98">
        <f>AB7+AB8</f>
        <v>17732.379999999997</v>
      </c>
      <c r="AC9" s="98">
        <f t="shared" ref="AC9:AF9" si="6">AC7+AC8</f>
        <v>19432.379999999997</v>
      </c>
      <c r="AD9" s="98">
        <f t="shared" si="6"/>
        <v>21132.379999999997</v>
      </c>
      <c r="AE9" s="98">
        <f t="shared" si="6"/>
        <v>22832.379999999997</v>
      </c>
      <c r="AF9" s="98">
        <f t="shared" si="6"/>
        <v>24532.379999999997</v>
      </c>
    </row>
    <row r="10" spans="2:32" s="98" customFormat="1" x14ac:dyDescent="0.35">
      <c r="B10" s="98" t="s">
        <v>260</v>
      </c>
      <c r="C10" s="107">
        <f>C5+C9</f>
        <v>25772.300000000003</v>
      </c>
      <c r="D10" s="107">
        <f t="shared" ref="D10:AA10" si="7">D5+D9</f>
        <v>1</v>
      </c>
      <c r="E10" s="107">
        <f t="shared" si="7"/>
        <v>2</v>
      </c>
      <c r="F10" s="107">
        <f t="shared" si="7"/>
        <v>3</v>
      </c>
      <c r="G10" s="107">
        <f t="shared" si="7"/>
        <v>4</v>
      </c>
      <c r="H10" s="107">
        <f t="shared" si="7"/>
        <v>43536.17</v>
      </c>
      <c r="I10" s="107">
        <f t="shared" si="7"/>
        <v>6</v>
      </c>
      <c r="J10" s="107">
        <f t="shared" si="7"/>
        <v>7</v>
      </c>
      <c r="K10" s="107">
        <f t="shared" si="7"/>
        <v>8</v>
      </c>
      <c r="L10" s="107">
        <f t="shared" si="7"/>
        <v>9</v>
      </c>
      <c r="M10" s="107">
        <f t="shared" si="7"/>
        <v>22030.46</v>
      </c>
      <c r="N10" s="107">
        <f t="shared" si="7"/>
        <v>0</v>
      </c>
      <c r="O10" s="107">
        <f t="shared" si="7"/>
        <v>0</v>
      </c>
      <c r="P10" s="107">
        <f t="shared" si="7"/>
        <v>0</v>
      </c>
      <c r="Q10" s="107">
        <f t="shared" si="7"/>
        <v>0</v>
      </c>
      <c r="R10" s="107">
        <f t="shared" si="7"/>
        <v>19129.830000000002</v>
      </c>
      <c r="S10" s="107">
        <f t="shared" si="7"/>
        <v>0</v>
      </c>
      <c r="T10" s="107">
        <f t="shared" si="7"/>
        <v>0</v>
      </c>
      <c r="U10" s="107">
        <f t="shared" si="7"/>
        <v>0</v>
      </c>
      <c r="V10" s="107">
        <f t="shared" si="7"/>
        <v>0</v>
      </c>
      <c r="W10" s="107">
        <f t="shared" si="7"/>
        <v>16670.039999999997</v>
      </c>
      <c r="X10" s="107">
        <f t="shared" si="7"/>
        <v>0</v>
      </c>
      <c r="Y10" s="107">
        <f t="shared" si="7"/>
        <v>0</v>
      </c>
      <c r="Z10" s="107">
        <f t="shared" si="7"/>
        <v>0</v>
      </c>
      <c r="AA10" s="107">
        <f t="shared" si="7"/>
        <v>0</v>
      </c>
      <c r="AB10" s="107">
        <f>AB5+AB9</f>
        <v>19732.379999999997</v>
      </c>
      <c r="AC10" s="107">
        <f t="shared" ref="AC10:AF10" si="8">AC5+AC9</f>
        <v>21432.379999999997</v>
      </c>
      <c r="AD10" s="107">
        <f t="shared" si="8"/>
        <v>23132.379999999997</v>
      </c>
      <c r="AE10" s="107">
        <f t="shared" si="8"/>
        <v>24832.379999999997</v>
      </c>
      <c r="AF10" s="107">
        <f t="shared" si="8"/>
        <v>26532.379999999997</v>
      </c>
    </row>
    <row r="12" spans="2:32" s="98" customFormat="1" x14ac:dyDescent="0.35">
      <c r="B12" s="98" t="s">
        <v>288</v>
      </c>
      <c r="C12" s="103">
        <f>'Income Statement'!C31</f>
        <v>1327</v>
      </c>
      <c r="D12" s="103">
        <f>'Income Statement'!D31</f>
        <v>64</v>
      </c>
      <c r="E12" s="103">
        <f>'Income Statement'!E31</f>
        <v>78</v>
      </c>
      <c r="F12" s="103">
        <f>'Income Statement'!F31</f>
        <v>183</v>
      </c>
      <c r="G12" s="103">
        <f>'Income Statement'!G31</f>
        <v>182</v>
      </c>
      <c r="H12" s="103">
        <f>'Income Statement'!H31</f>
        <v>507</v>
      </c>
      <c r="I12" s="103">
        <f>'Income Statement'!I31</f>
        <v>249</v>
      </c>
      <c r="J12" s="103">
        <f>'Income Statement'!J31</f>
        <v>176</v>
      </c>
      <c r="K12" s="103">
        <f>'Income Statement'!K31</f>
        <v>177</v>
      </c>
      <c r="L12" s="103">
        <f>'Income Statement'!L31</f>
        <v>137</v>
      </c>
      <c r="M12" s="103">
        <f>'Income Statement'!M31</f>
        <v>739</v>
      </c>
      <c r="N12" s="103">
        <f>'Income Statement'!N31</f>
        <v>214</v>
      </c>
      <c r="O12" s="103">
        <f>'Income Statement'!O31</f>
        <v>225</v>
      </c>
      <c r="P12" s="103">
        <f>'Income Statement'!P31</f>
        <v>271</v>
      </c>
      <c r="Q12" s="103">
        <f>'Income Statement'!Q31</f>
        <v>288</v>
      </c>
      <c r="R12" s="103">
        <f>'Income Statement'!R31</f>
        <v>998</v>
      </c>
      <c r="S12" s="103">
        <f>'Income Statement'!S31</f>
        <v>206</v>
      </c>
      <c r="T12" s="103">
        <f>'Income Statement'!T31</f>
        <v>233</v>
      </c>
      <c r="U12" s="103">
        <f>'Income Statement'!U31</f>
        <v>217</v>
      </c>
      <c r="V12" s="103">
        <f>'Income Statement'!V31</f>
        <v>278</v>
      </c>
      <c r="W12" s="103">
        <f>'Income Statement'!W31</f>
        <v>934</v>
      </c>
      <c r="X12" s="103">
        <f>'Income Statement'!X31</f>
        <v>243</v>
      </c>
      <c r="Y12" s="103">
        <f>'Income Statement'!Y31</f>
        <v>0</v>
      </c>
      <c r="Z12" s="103">
        <f>'Income Statement'!Z31</f>
        <v>0</v>
      </c>
      <c r="AA12" s="103">
        <f>'Income Statement'!AA31</f>
        <v>0</v>
      </c>
      <c r="AB12" s="103">
        <f>AB10*AB14</f>
        <v>789.29519999999991</v>
      </c>
      <c r="AC12" s="103">
        <f t="shared" ref="AC12:AF12" si="9">AC10*AC14</f>
        <v>857.29519999999991</v>
      </c>
      <c r="AD12" s="103">
        <f t="shared" si="9"/>
        <v>925.29519999999991</v>
      </c>
      <c r="AE12" s="103">
        <f t="shared" si="9"/>
        <v>993.29519999999991</v>
      </c>
      <c r="AF12" s="103">
        <f t="shared" si="9"/>
        <v>1061.2952</v>
      </c>
    </row>
    <row r="14" spans="2:32" s="113" customFormat="1" x14ac:dyDescent="0.35">
      <c r="B14" s="112" t="s">
        <v>261</v>
      </c>
      <c r="C14" s="113">
        <f>C12/C10</f>
        <v>5.1489389771188443E-2</v>
      </c>
      <c r="D14" s="113">
        <f t="shared" ref="D14:AA14" si="10">D12/D10</f>
        <v>64</v>
      </c>
      <c r="E14" s="113">
        <f t="shared" si="10"/>
        <v>39</v>
      </c>
      <c r="F14" s="113">
        <f t="shared" si="10"/>
        <v>61</v>
      </c>
      <c r="G14" s="113">
        <f t="shared" si="10"/>
        <v>45.5</v>
      </c>
      <c r="H14" s="113">
        <f t="shared" si="10"/>
        <v>1.1645489256404502E-2</v>
      </c>
      <c r="I14" s="113">
        <f t="shared" si="10"/>
        <v>41.5</v>
      </c>
      <c r="J14" s="113">
        <f t="shared" si="10"/>
        <v>25.142857142857142</v>
      </c>
      <c r="K14" s="113">
        <f t="shared" si="10"/>
        <v>22.125</v>
      </c>
      <c r="L14" s="113">
        <f t="shared" si="10"/>
        <v>15.222222222222221</v>
      </c>
      <c r="M14" s="113">
        <f t="shared" si="10"/>
        <v>3.3544465254016484E-2</v>
      </c>
      <c r="N14" s="113" t="e">
        <f t="shared" si="10"/>
        <v>#DIV/0!</v>
      </c>
      <c r="O14" s="113" t="e">
        <f t="shared" si="10"/>
        <v>#DIV/0!</v>
      </c>
      <c r="P14" s="113" t="e">
        <f t="shared" si="10"/>
        <v>#DIV/0!</v>
      </c>
      <c r="Q14" s="113" t="e">
        <f t="shared" si="10"/>
        <v>#DIV/0!</v>
      </c>
      <c r="R14" s="113">
        <f t="shared" si="10"/>
        <v>5.2169831096251243E-2</v>
      </c>
      <c r="S14" s="113" t="e">
        <f t="shared" si="10"/>
        <v>#DIV/0!</v>
      </c>
      <c r="T14" s="113" t="e">
        <f t="shared" si="10"/>
        <v>#DIV/0!</v>
      </c>
      <c r="U14" s="113" t="e">
        <f t="shared" si="10"/>
        <v>#DIV/0!</v>
      </c>
      <c r="V14" s="113" t="e">
        <f t="shared" si="10"/>
        <v>#DIV/0!</v>
      </c>
      <c r="W14" s="113">
        <f t="shared" si="10"/>
        <v>5.6028659799256642E-2</v>
      </c>
      <c r="X14" s="113" t="e">
        <f t="shared" si="10"/>
        <v>#DIV/0!</v>
      </c>
      <c r="Y14" s="113" t="e">
        <f t="shared" si="10"/>
        <v>#DIV/0!</v>
      </c>
      <c r="Z14" s="113" t="e">
        <f t="shared" si="10"/>
        <v>#DIV/0!</v>
      </c>
      <c r="AA14" s="113" t="e">
        <f t="shared" si="10"/>
        <v>#DIV/0!</v>
      </c>
      <c r="AB14" s="113">
        <v>0.04</v>
      </c>
      <c r="AC14" s="113">
        <v>0.04</v>
      </c>
      <c r="AD14" s="113">
        <v>0.04</v>
      </c>
      <c r="AE14" s="113">
        <v>0.04</v>
      </c>
      <c r="AF14" s="113">
        <v>0.04</v>
      </c>
    </row>
    <row r="15" spans="2:32" x14ac:dyDescent="0.35">
      <c r="AB15" s="7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DE58-7E9C-4C54-896B-05CDD84E9135}">
  <dimension ref="B1:AH18"/>
  <sheetViews>
    <sheetView zoomScale="102" zoomScaleNormal="85" workbookViewId="0">
      <selection activeCell="AH26" sqref="AH26"/>
    </sheetView>
  </sheetViews>
  <sheetFormatPr defaultRowHeight="14.5" outlineLevelCol="1" x14ac:dyDescent="0.35"/>
  <cols>
    <col min="2" max="2" width="28.453125" customWidth="1"/>
    <col min="3" max="3" width="9.26953125" customWidth="1" collapsed="1"/>
    <col min="4" max="7" width="9.1796875" hidden="1" customWidth="1" outlineLevel="1"/>
    <col min="8" max="8" width="9" customWidth="1" collapsed="1"/>
    <col min="9" max="12" width="9.1796875" hidden="1" customWidth="1" outlineLevel="1"/>
    <col min="13" max="13" width="9.7265625" bestFit="1" customWidth="1" collapsed="1"/>
    <col min="14" max="17" width="9.1796875" hidden="1" customWidth="1" outlineLevel="1"/>
    <col min="18" max="18" width="9.7265625" bestFit="1" customWidth="1" collapsed="1"/>
    <col min="19" max="22" width="9.1796875" hidden="1" customWidth="1" outlineLevel="1"/>
    <col min="23" max="23" width="11.453125" bestFit="1" customWidth="1" collapsed="1"/>
    <col min="24" max="27" width="9.1796875" hidden="1" customWidth="1" outlineLevel="1"/>
    <col min="28" max="28" width="9.1796875" customWidth="1" collapsed="1"/>
    <col min="29" max="32" width="9.81640625" bestFit="1" customWidth="1"/>
  </cols>
  <sheetData>
    <row r="1" spans="2:34" x14ac:dyDescent="0.35">
      <c r="B1" s="91" t="s">
        <v>140</v>
      </c>
      <c r="C1" s="92" t="s">
        <v>20</v>
      </c>
      <c r="D1" s="93" t="s">
        <v>21</v>
      </c>
      <c r="E1" s="93" t="s">
        <v>22</v>
      </c>
      <c r="F1" s="93" t="s">
        <v>23</v>
      </c>
      <c r="G1" s="93" t="s">
        <v>24</v>
      </c>
      <c r="H1" s="92" t="s">
        <v>25</v>
      </c>
      <c r="I1" s="93" t="s">
        <v>26</v>
      </c>
      <c r="J1" s="93" t="s">
        <v>27</v>
      </c>
      <c r="K1" s="93" t="s">
        <v>28</v>
      </c>
      <c r="L1" s="93" t="s">
        <v>29</v>
      </c>
      <c r="M1" s="92" t="s">
        <v>30</v>
      </c>
      <c r="N1" s="93" t="s">
        <v>31</v>
      </c>
      <c r="O1" s="93" t="s">
        <v>32</v>
      </c>
      <c r="P1" s="93" t="s">
        <v>33</v>
      </c>
      <c r="Q1" s="93" t="s">
        <v>34</v>
      </c>
      <c r="R1" s="92" t="s">
        <v>35</v>
      </c>
      <c r="S1" s="93" t="s">
        <v>36</v>
      </c>
      <c r="T1" s="93" t="s">
        <v>37</v>
      </c>
      <c r="U1" s="93" t="s">
        <v>38</v>
      </c>
      <c r="V1" s="93" t="s">
        <v>39</v>
      </c>
      <c r="W1" s="92" t="s">
        <v>40</v>
      </c>
      <c r="X1" s="94" t="s">
        <v>41</v>
      </c>
      <c r="Y1" s="95" t="s">
        <v>42</v>
      </c>
      <c r="Z1" s="95" t="s">
        <v>43</v>
      </c>
      <c r="AA1" s="95" t="s">
        <v>44</v>
      </c>
      <c r="AB1" s="95" t="s">
        <v>45</v>
      </c>
      <c r="AC1" s="95" t="s">
        <v>46</v>
      </c>
      <c r="AD1" s="95" t="s">
        <v>47</v>
      </c>
      <c r="AE1" s="95" t="s">
        <v>48</v>
      </c>
      <c r="AF1" s="95" t="s">
        <v>49</v>
      </c>
    </row>
    <row r="3" spans="2:34" x14ac:dyDescent="0.35">
      <c r="B3" t="s">
        <v>115</v>
      </c>
      <c r="C3" s="109">
        <f>'Balance Sheet'!C36</f>
        <v>4445.1400000000003</v>
      </c>
      <c r="D3" s="109">
        <f>'Balance Sheet'!D36</f>
        <v>0</v>
      </c>
      <c r="E3" s="109">
        <f>'Balance Sheet'!E36</f>
        <v>0</v>
      </c>
      <c r="F3" s="109">
        <f>'Balance Sheet'!F36</f>
        <v>0</v>
      </c>
      <c r="G3" s="109">
        <f>'Balance Sheet'!G36</f>
        <v>0</v>
      </c>
      <c r="H3" s="109">
        <f>'Balance Sheet'!H36</f>
        <v>4411.5</v>
      </c>
      <c r="I3" s="109">
        <f>'Balance Sheet'!I36</f>
        <v>0</v>
      </c>
      <c r="J3" s="109">
        <f>'Balance Sheet'!J36</f>
        <v>0</v>
      </c>
      <c r="K3" s="109">
        <f>'Balance Sheet'!K36</f>
        <v>0</v>
      </c>
      <c r="L3" s="109">
        <f>'Balance Sheet'!L36</f>
        <v>0</v>
      </c>
      <c r="M3" s="109">
        <f>'Balance Sheet'!M36</f>
        <v>4411.5</v>
      </c>
      <c r="N3" s="109">
        <f>'Balance Sheet'!N36</f>
        <v>0</v>
      </c>
      <c r="O3" s="109">
        <f>'Balance Sheet'!O36</f>
        <v>0</v>
      </c>
      <c r="P3" s="109">
        <f>'Balance Sheet'!P36</f>
        <v>0</v>
      </c>
      <c r="Q3" s="109">
        <f>'Balance Sheet'!Q36</f>
        <v>0</v>
      </c>
      <c r="R3" s="109">
        <f>'Balance Sheet'!R36</f>
        <v>4365</v>
      </c>
      <c r="S3" s="109">
        <f>'Balance Sheet'!S36</f>
        <v>0</v>
      </c>
      <c r="T3" s="109">
        <f>'Balance Sheet'!T36</f>
        <v>0</v>
      </c>
      <c r="U3" s="109">
        <f>'Balance Sheet'!U36</f>
        <v>0</v>
      </c>
      <c r="V3" s="109">
        <f>'Balance Sheet'!V36</f>
        <v>0</v>
      </c>
      <c r="W3" s="109">
        <f>'Balance Sheet'!W36</f>
        <v>4365</v>
      </c>
      <c r="AB3" s="111">
        <v>4365</v>
      </c>
      <c r="AC3" s="111">
        <v>4365</v>
      </c>
      <c r="AD3" s="111">
        <v>4365</v>
      </c>
      <c r="AE3" s="111">
        <v>4365</v>
      </c>
      <c r="AF3" s="111">
        <v>4365</v>
      </c>
    </row>
    <row r="4" spans="2:34" x14ac:dyDescent="0.35">
      <c r="B4" t="s">
        <v>116</v>
      </c>
      <c r="C4" s="109">
        <f>'Balance Sheet'!C37</f>
        <v>171819.86</v>
      </c>
      <c r="D4" s="109">
        <f>'Balance Sheet'!D37</f>
        <v>0</v>
      </c>
      <c r="E4" s="109">
        <f>'Balance Sheet'!E37</f>
        <v>0</v>
      </c>
      <c r="F4" s="109">
        <f>'Balance Sheet'!F37</f>
        <v>0</v>
      </c>
      <c r="G4" s="109">
        <f>'Balance Sheet'!G37</f>
        <v>0</v>
      </c>
      <c r="H4" s="109">
        <f>'Balance Sheet'!H37</f>
        <v>203247.87</v>
      </c>
      <c r="I4" s="109">
        <f>'Balance Sheet'!I37</f>
        <v>0</v>
      </c>
      <c r="J4" s="109">
        <f>'Balance Sheet'!J37</f>
        <v>0</v>
      </c>
      <c r="K4" s="109">
        <f>'Balance Sheet'!K37</f>
        <v>0</v>
      </c>
      <c r="L4" s="109">
        <f>'Balance Sheet'!L37</f>
        <v>0</v>
      </c>
      <c r="M4" s="109">
        <f>'Balance Sheet'!M37</f>
        <v>225868.49</v>
      </c>
      <c r="N4" s="109">
        <f>'Balance Sheet'!N37</f>
        <v>0</v>
      </c>
      <c r="O4" s="109">
        <f>'Balance Sheet'!O37</f>
        <v>0</v>
      </c>
      <c r="P4" s="109">
        <f>'Balance Sheet'!P37</f>
        <v>0</v>
      </c>
      <c r="Q4" s="109">
        <f>'Balance Sheet'!Q37</f>
        <v>0</v>
      </c>
      <c r="R4" s="109">
        <f>'Balance Sheet'!R37</f>
        <v>240293.79</v>
      </c>
      <c r="S4" s="109">
        <f>'Balance Sheet'!S37</f>
        <v>0</v>
      </c>
      <c r="T4" s="109">
        <f>'Balance Sheet'!T37</f>
        <v>0</v>
      </c>
      <c r="U4" s="109">
        <f>'Balance Sheet'!U37</f>
        <v>0</v>
      </c>
      <c r="V4" s="109">
        <f>'Balance Sheet'!V37</f>
        <v>0</v>
      </c>
      <c r="W4" s="109">
        <f>'Balance Sheet'!W37</f>
        <v>265114.28999999998</v>
      </c>
      <c r="AB4" s="27">
        <f>AB12</f>
        <v>310196.99952282</v>
      </c>
      <c r="AC4" s="27">
        <f t="shared" ref="AC4:AF4" si="0">AC12</f>
        <v>362354.71453327546</v>
      </c>
      <c r="AD4" s="27">
        <f t="shared" si="0"/>
        <v>417785.50582191045</v>
      </c>
      <c r="AE4" s="27">
        <f t="shared" si="0"/>
        <v>476627.21083973272</v>
      </c>
      <c r="AF4" s="27">
        <f t="shared" si="0"/>
        <v>539033.5846439891</v>
      </c>
    </row>
    <row r="5" spans="2:34" s="98" customFormat="1" x14ac:dyDescent="0.35">
      <c r="B5" s="98" t="s">
        <v>289</v>
      </c>
      <c r="C5" s="108">
        <f>'Balance Sheet'!C38</f>
        <v>176265</v>
      </c>
      <c r="D5" s="108">
        <f>'Balance Sheet'!D38</f>
        <v>0</v>
      </c>
      <c r="E5" s="108">
        <f>'Balance Sheet'!E38</f>
        <v>0</v>
      </c>
      <c r="F5" s="108">
        <f>'Balance Sheet'!F38</f>
        <v>0</v>
      </c>
      <c r="G5" s="108">
        <f>'Balance Sheet'!G38</f>
        <v>0</v>
      </c>
      <c r="H5" s="108">
        <f>'Balance Sheet'!H38</f>
        <v>207659.37</v>
      </c>
      <c r="I5" s="108">
        <f>'Balance Sheet'!I38</f>
        <v>0</v>
      </c>
      <c r="J5" s="108">
        <f>'Balance Sheet'!J38</f>
        <v>0</v>
      </c>
      <c r="K5" s="108">
        <f>'Balance Sheet'!K38</f>
        <v>0</v>
      </c>
      <c r="L5" s="108">
        <f>'Balance Sheet'!L38</f>
        <v>0</v>
      </c>
      <c r="M5" s="108">
        <f>'Balance Sheet'!M38</f>
        <v>230279.99</v>
      </c>
      <c r="N5" s="108">
        <f>'Balance Sheet'!N38</f>
        <v>0</v>
      </c>
      <c r="O5" s="108">
        <f>'Balance Sheet'!O38</f>
        <v>0</v>
      </c>
      <c r="P5" s="108">
        <f>'Balance Sheet'!P38</f>
        <v>0</v>
      </c>
      <c r="Q5" s="108">
        <f>'Balance Sheet'!Q38</f>
        <v>0</v>
      </c>
      <c r="R5" s="108">
        <f>'Balance Sheet'!R38</f>
        <v>244658.79</v>
      </c>
      <c r="S5" s="108">
        <f>'Balance Sheet'!S38</f>
        <v>0</v>
      </c>
      <c r="T5" s="108">
        <f>'Balance Sheet'!T38</f>
        <v>0</v>
      </c>
      <c r="U5" s="108">
        <f>'Balance Sheet'!U38</f>
        <v>0</v>
      </c>
      <c r="V5" s="108">
        <f>'Balance Sheet'!V38</f>
        <v>0</v>
      </c>
      <c r="W5" s="108">
        <f>'Balance Sheet'!W38</f>
        <v>269479.28999999998</v>
      </c>
      <c r="AB5" s="107">
        <f>AB3+AB4</f>
        <v>314561.99952282</v>
      </c>
      <c r="AC5" s="107">
        <f t="shared" ref="AC5:AF5" si="1">AC3+AC4</f>
        <v>366719.71453327546</v>
      </c>
      <c r="AD5" s="107">
        <f t="shared" si="1"/>
        <v>422150.50582191045</v>
      </c>
      <c r="AE5" s="107">
        <f t="shared" si="1"/>
        <v>480992.21083973272</v>
      </c>
      <c r="AF5" s="107">
        <f t="shared" si="1"/>
        <v>543398.5846439891</v>
      </c>
    </row>
    <row r="6" spans="2:34" x14ac:dyDescent="0.35">
      <c r="B6" t="s">
        <v>290</v>
      </c>
      <c r="C6" s="109">
        <f>'Balance Sheet'!C39</f>
        <v>-88.71</v>
      </c>
      <c r="D6" s="109">
        <f>'Balance Sheet'!D39</f>
        <v>0</v>
      </c>
      <c r="E6" s="109">
        <f>'Balance Sheet'!E39</f>
        <v>0</v>
      </c>
      <c r="F6" s="109">
        <f>'Balance Sheet'!F39</f>
        <v>0</v>
      </c>
      <c r="G6" s="109">
        <f>'Balance Sheet'!G39</f>
        <v>0</v>
      </c>
      <c r="H6" s="109">
        <f>'Balance Sheet'!H39</f>
        <v>-230.09</v>
      </c>
      <c r="I6" s="109">
        <f>'Balance Sheet'!I39</f>
        <v>0</v>
      </c>
      <c r="J6" s="109">
        <f>'Balance Sheet'!J39</f>
        <v>0</v>
      </c>
      <c r="K6" s="109">
        <f>'Balance Sheet'!K39</f>
        <v>0</v>
      </c>
      <c r="L6" s="109">
        <f>'Balance Sheet'!L39</f>
        <v>0</v>
      </c>
      <c r="M6" s="109">
        <f>'Balance Sheet'!M39</f>
        <v>996.48</v>
      </c>
      <c r="N6" s="109">
        <f>'Balance Sheet'!N39</f>
        <v>0</v>
      </c>
      <c r="O6" s="109">
        <f>'Balance Sheet'!O39</f>
        <v>0</v>
      </c>
      <c r="P6" s="109">
        <f>'Balance Sheet'!P39</f>
        <v>0</v>
      </c>
      <c r="Q6" s="109">
        <f>'Balance Sheet'!Q39</f>
        <v>0</v>
      </c>
      <c r="R6" s="109">
        <f>'Balance Sheet'!R39</f>
        <v>1112.22</v>
      </c>
      <c r="S6" s="109">
        <f>'Balance Sheet'!S39</f>
        <v>0</v>
      </c>
      <c r="T6" s="109">
        <f>'Balance Sheet'!T39</f>
        <v>0</v>
      </c>
      <c r="U6" s="109">
        <f>'Balance Sheet'!U39</f>
        <v>0</v>
      </c>
      <c r="V6" s="109">
        <f>'Balance Sheet'!V39</f>
        <v>0</v>
      </c>
      <c r="W6" s="109">
        <f>'Balance Sheet'!W39</f>
        <v>-143.43</v>
      </c>
      <c r="AB6" s="125">
        <v>51</v>
      </c>
      <c r="AC6" s="125">
        <v>51</v>
      </c>
      <c r="AD6" s="125">
        <v>51</v>
      </c>
      <c r="AE6" s="125">
        <v>51</v>
      </c>
      <c r="AF6" s="125">
        <v>51</v>
      </c>
    </row>
    <row r="7" spans="2:34" s="98" customFormat="1" x14ac:dyDescent="0.35">
      <c r="B7" s="98" t="s">
        <v>291</v>
      </c>
      <c r="C7" s="108">
        <f>'Balance Sheet'!C40</f>
        <v>176176.29</v>
      </c>
      <c r="D7" s="108">
        <f>'Balance Sheet'!D40</f>
        <v>0</v>
      </c>
      <c r="E7" s="108">
        <f>'Balance Sheet'!E40</f>
        <v>0</v>
      </c>
      <c r="F7" s="108">
        <f>'Balance Sheet'!F40</f>
        <v>0</v>
      </c>
      <c r="G7" s="108">
        <f>'Balance Sheet'!G40</f>
        <v>0</v>
      </c>
      <c r="H7" s="108">
        <f>'Balance Sheet'!H40</f>
        <v>207429.28</v>
      </c>
      <c r="I7" s="108">
        <f>'Balance Sheet'!I40</f>
        <v>0</v>
      </c>
      <c r="J7" s="108">
        <f>'Balance Sheet'!J40</f>
        <v>0</v>
      </c>
      <c r="K7" s="108">
        <f>'Balance Sheet'!K40</f>
        <v>0</v>
      </c>
      <c r="L7" s="108">
        <f>'Balance Sheet'!L40</f>
        <v>0</v>
      </c>
      <c r="M7" s="108">
        <f>'Balance Sheet'!M40</f>
        <v>231276.47</v>
      </c>
      <c r="N7" s="108">
        <f>'Balance Sheet'!N40</f>
        <v>0</v>
      </c>
      <c r="O7" s="108">
        <f>'Balance Sheet'!O40</f>
        <v>0</v>
      </c>
      <c r="P7" s="108">
        <f>'Balance Sheet'!P40</f>
        <v>0</v>
      </c>
      <c r="Q7" s="108">
        <f>'Balance Sheet'!Q40</f>
        <v>0</v>
      </c>
      <c r="R7" s="108">
        <f>'Balance Sheet'!R40</f>
        <v>245771.01</v>
      </c>
      <c r="S7" s="108">
        <f>'Balance Sheet'!S40</f>
        <v>0</v>
      </c>
      <c r="T7" s="108">
        <f>'Balance Sheet'!T40</f>
        <v>0</v>
      </c>
      <c r="U7" s="108">
        <f>'Balance Sheet'!U40</f>
        <v>0</v>
      </c>
      <c r="V7" s="108">
        <f>'Balance Sheet'!V40</f>
        <v>0</v>
      </c>
      <c r="W7" s="108">
        <f>'Balance Sheet'!W40</f>
        <v>269335.86</v>
      </c>
      <c r="AB7" s="107">
        <f>AB5+AB6</f>
        <v>314612.99952282</v>
      </c>
      <c r="AC7" s="107">
        <f t="shared" ref="AC7:AF7" si="2">AC5+AC6</f>
        <v>366770.71453327546</v>
      </c>
      <c r="AD7" s="107">
        <f t="shared" si="2"/>
        <v>422201.50582191045</v>
      </c>
      <c r="AE7" s="107">
        <f t="shared" si="2"/>
        <v>481043.21083973272</v>
      </c>
      <c r="AF7" s="107">
        <f t="shared" si="2"/>
        <v>543449.5846439891</v>
      </c>
    </row>
    <row r="9" spans="2:34" x14ac:dyDescent="0.35">
      <c r="B9" s="102" t="s">
        <v>262</v>
      </c>
      <c r="H9" s="27">
        <f>C12</f>
        <v>171819.86</v>
      </c>
      <c r="I9" s="27">
        <f t="shared" ref="I9:W9" si="3">D12</f>
        <v>0</v>
      </c>
      <c r="J9" s="27">
        <f t="shared" si="3"/>
        <v>0</v>
      </c>
      <c r="K9" s="27">
        <f t="shared" si="3"/>
        <v>0</v>
      </c>
      <c r="L9" s="27">
        <f t="shared" si="3"/>
        <v>0</v>
      </c>
      <c r="M9" s="27">
        <f t="shared" si="3"/>
        <v>203247.87</v>
      </c>
      <c r="N9" s="27">
        <f t="shared" si="3"/>
        <v>0</v>
      </c>
      <c r="O9" s="27">
        <f t="shared" si="3"/>
        <v>0</v>
      </c>
      <c r="P9" s="27">
        <f t="shared" si="3"/>
        <v>0</v>
      </c>
      <c r="Q9" s="27">
        <f t="shared" si="3"/>
        <v>0</v>
      </c>
      <c r="R9" s="27">
        <f t="shared" si="3"/>
        <v>225868.49</v>
      </c>
      <c r="S9" s="27">
        <f t="shared" si="3"/>
        <v>0</v>
      </c>
      <c r="T9" s="27">
        <f t="shared" si="3"/>
        <v>0</v>
      </c>
      <c r="U9" s="27">
        <f t="shared" si="3"/>
        <v>0</v>
      </c>
      <c r="V9" s="27">
        <f t="shared" si="3"/>
        <v>0</v>
      </c>
      <c r="W9" s="27">
        <f t="shared" si="3"/>
        <v>240293.79</v>
      </c>
      <c r="X9" s="27">
        <f t="shared" ref="X9" si="4">S12</f>
        <v>0</v>
      </c>
      <c r="Y9" s="27">
        <f t="shared" ref="Y9" si="5">T12</f>
        <v>0</v>
      </c>
      <c r="Z9" s="27">
        <f t="shared" ref="Z9" si="6">U12</f>
        <v>0</v>
      </c>
      <c r="AA9" s="27">
        <f t="shared" ref="AA9" si="7">V12</f>
        <v>0</v>
      </c>
      <c r="AB9" s="27">
        <f>W12</f>
        <v>265114.28999999998</v>
      </c>
      <c r="AC9" s="27">
        <f>AB12</f>
        <v>310196.99952282</v>
      </c>
      <c r="AD9" s="27">
        <f t="shared" ref="AD9:AF9" si="8">AC12</f>
        <v>362354.71453327546</v>
      </c>
      <c r="AE9" s="27">
        <f t="shared" si="8"/>
        <v>417785.50582191045</v>
      </c>
      <c r="AF9" s="27">
        <f t="shared" si="8"/>
        <v>476627.21083973272</v>
      </c>
    </row>
    <row r="10" spans="2:34" x14ac:dyDescent="0.35">
      <c r="B10" s="102" t="s">
        <v>263</v>
      </c>
      <c r="C10" s="27">
        <f>C15-C14</f>
        <v>9909.9000000000015</v>
      </c>
      <c r="D10" s="27">
        <f t="shared" ref="D10:W10" si="9">D15-D14</f>
        <v>7779</v>
      </c>
      <c r="E10" s="27">
        <f t="shared" si="9"/>
        <v>18525</v>
      </c>
      <c r="F10" s="27">
        <f t="shared" si="9"/>
        <v>21952</v>
      </c>
      <c r="G10" s="27">
        <f t="shared" si="9"/>
        <v>35929</v>
      </c>
      <c r="H10" s="27">
        <f t="shared" si="9"/>
        <v>25590.9</v>
      </c>
      <c r="I10" s="27">
        <f t="shared" si="9"/>
        <v>33597</v>
      </c>
      <c r="J10" s="27">
        <f t="shared" si="9"/>
        <v>18013</v>
      </c>
      <c r="K10" s="27">
        <f t="shared" si="9"/>
        <v>23297</v>
      </c>
      <c r="L10" s="27">
        <f t="shared" si="9"/>
        <v>14162</v>
      </c>
      <c r="M10" s="27">
        <f t="shared" si="9"/>
        <v>27449</v>
      </c>
      <c r="N10" s="27">
        <f t="shared" si="9"/>
        <v>13675</v>
      </c>
      <c r="O10" s="27">
        <f t="shared" si="9"/>
        <v>18308</v>
      </c>
      <c r="P10" s="27">
        <f t="shared" si="9"/>
        <v>26655</v>
      </c>
      <c r="Q10" s="27">
        <f t="shared" si="9"/>
        <v>8593</v>
      </c>
      <c r="R10" s="27">
        <f t="shared" si="9"/>
        <v>37493</v>
      </c>
      <c r="S10" s="27">
        <f t="shared" si="9"/>
        <v>15060</v>
      </c>
      <c r="T10" s="27">
        <f t="shared" si="9"/>
        <v>21199</v>
      </c>
      <c r="U10" s="27">
        <f t="shared" si="9"/>
        <v>27898</v>
      </c>
      <c r="V10" s="27">
        <f t="shared" si="9"/>
        <v>16217</v>
      </c>
      <c r="W10" s="27">
        <f t="shared" si="9"/>
        <v>45354</v>
      </c>
      <c r="X10" s="27">
        <f t="shared" ref="X10:AA10" si="10">X15-X14</f>
        <v>16426</v>
      </c>
      <c r="Y10" s="27">
        <f t="shared" si="10"/>
        <v>0</v>
      </c>
      <c r="Z10" s="27">
        <f t="shared" si="10"/>
        <v>0</v>
      </c>
      <c r="AA10" s="27">
        <f t="shared" si="10"/>
        <v>0</v>
      </c>
      <c r="AB10" s="27">
        <f>AB15-AB14</f>
        <v>45082.709522819991</v>
      </c>
      <c r="AC10" s="27">
        <f t="shared" ref="AC10:AF10" si="11">AC15-AC14</f>
        <v>52157.715010455431</v>
      </c>
      <c r="AD10" s="27">
        <f t="shared" si="11"/>
        <v>55430.791288634995</v>
      </c>
      <c r="AE10" s="27">
        <f t="shared" si="11"/>
        <v>58841.705017822293</v>
      </c>
      <c r="AF10" s="27">
        <f t="shared" si="11"/>
        <v>62406.373804256422</v>
      </c>
    </row>
    <row r="11" spans="2:34" x14ac:dyDescent="0.35">
      <c r="B11" s="102" t="s">
        <v>264</v>
      </c>
      <c r="M11" s="27"/>
      <c r="AH11" s="114"/>
    </row>
    <row r="12" spans="2:34" s="98" customFormat="1" x14ac:dyDescent="0.35">
      <c r="B12" s="98" t="s">
        <v>265</v>
      </c>
      <c r="C12" s="107">
        <f>C4</f>
        <v>171819.86</v>
      </c>
      <c r="D12" s="107">
        <f t="shared" ref="D12:AA12" si="12">D4</f>
        <v>0</v>
      </c>
      <c r="E12" s="107">
        <f t="shared" si="12"/>
        <v>0</v>
      </c>
      <c r="F12" s="107">
        <f t="shared" si="12"/>
        <v>0</v>
      </c>
      <c r="G12" s="107">
        <f t="shared" si="12"/>
        <v>0</v>
      </c>
      <c r="H12" s="107">
        <f t="shared" si="12"/>
        <v>203247.87</v>
      </c>
      <c r="I12" s="107">
        <f t="shared" si="12"/>
        <v>0</v>
      </c>
      <c r="J12" s="107">
        <f t="shared" si="12"/>
        <v>0</v>
      </c>
      <c r="K12" s="107">
        <f t="shared" si="12"/>
        <v>0</v>
      </c>
      <c r="L12" s="107">
        <f t="shared" si="12"/>
        <v>0</v>
      </c>
      <c r="M12" s="107">
        <f t="shared" si="12"/>
        <v>225868.49</v>
      </c>
      <c r="N12" s="107">
        <f t="shared" si="12"/>
        <v>0</v>
      </c>
      <c r="O12" s="107">
        <f t="shared" si="12"/>
        <v>0</v>
      </c>
      <c r="P12" s="107">
        <f t="shared" si="12"/>
        <v>0</v>
      </c>
      <c r="Q12" s="107">
        <f t="shared" si="12"/>
        <v>0</v>
      </c>
      <c r="R12" s="107">
        <f t="shared" si="12"/>
        <v>240293.79</v>
      </c>
      <c r="S12" s="107">
        <f t="shared" si="12"/>
        <v>0</v>
      </c>
      <c r="T12" s="107">
        <f t="shared" si="12"/>
        <v>0</v>
      </c>
      <c r="U12" s="107">
        <f t="shared" si="12"/>
        <v>0</v>
      </c>
      <c r="V12" s="107">
        <f t="shared" si="12"/>
        <v>0</v>
      </c>
      <c r="W12" s="107">
        <f t="shared" si="12"/>
        <v>265114.28999999998</v>
      </c>
      <c r="X12" s="107">
        <f t="shared" si="12"/>
        <v>0</v>
      </c>
      <c r="Y12" s="107">
        <f t="shared" si="12"/>
        <v>0</v>
      </c>
      <c r="Z12" s="107">
        <f t="shared" si="12"/>
        <v>0</v>
      </c>
      <c r="AA12" s="107">
        <f t="shared" si="12"/>
        <v>0</v>
      </c>
      <c r="AB12" s="107">
        <f>AB9+AB10</f>
        <v>310196.99952282</v>
      </c>
      <c r="AC12" s="107">
        <f t="shared" ref="AC12:AF12" si="13">AC9+AC10</f>
        <v>362354.71453327546</v>
      </c>
      <c r="AD12" s="107">
        <f t="shared" si="13"/>
        <v>417785.50582191045</v>
      </c>
      <c r="AE12" s="107">
        <f t="shared" si="13"/>
        <v>476627.21083973272</v>
      </c>
      <c r="AF12" s="107">
        <f t="shared" si="13"/>
        <v>539033.5846439891</v>
      </c>
    </row>
    <row r="13" spans="2:34" x14ac:dyDescent="0.35">
      <c r="H13" s="27"/>
      <c r="M13" s="27"/>
      <c r="R13" s="27"/>
      <c r="W13" s="27"/>
    </row>
    <row r="14" spans="2:34" x14ac:dyDescent="0.35">
      <c r="B14" t="s">
        <v>292</v>
      </c>
      <c r="C14" s="109">
        <f>-'Cash Flow '!C68</f>
        <v>35561.1</v>
      </c>
      <c r="D14" s="109">
        <f>-'Cash Flow '!D68</f>
        <v>0</v>
      </c>
      <c r="E14" s="109">
        <f>-'Cash Flow '!E68</f>
        <v>0</v>
      </c>
      <c r="F14" s="109">
        <f>-'Cash Flow '!F68</f>
        <v>0</v>
      </c>
      <c r="G14" s="109">
        <f>-'Cash Flow '!G68</f>
        <v>0</v>
      </c>
      <c r="H14" s="109">
        <f>-'Cash Flow '!H68</f>
        <v>35561.1</v>
      </c>
      <c r="I14" s="109">
        <f>-'Cash Flow '!I68</f>
        <v>0</v>
      </c>
      <c r="J14" s="109">
        <f>-'Cash Flow '!J68</f>
        <v>0</v>
      </c>
      <c r="K14" s="109">
        <f>-'Cash Flow '!K68</f>
        <v>0</v>
      </c>
      <c r="L14" s="109">
        <f>-'Cash Flow '!L68</f>
        <v>0</v>
      </c>
      <c r="M14" s="109">
        <f>-'Cash Flow '!M68</f>
        <v>35292</v>
      </c>
      <c r="N14" s="109">
        <f>-'Cash Flow '!N68</f>
        <v>0</v>
      </c>
      <c r="O14" s="109">
        <f>-'Cash Flow '!O68</f>
        <v>0</v>
      </c>
      <c r="P14" s="109">
        <f>-'Cash Flow '!P68</f>
        <v>0</v>
      </c>
      <c r="Q14" s="109">
        <f>-'Cash Flow '!Q68</f>
        <v>0</v>
      </c>
      <c r="R14" s="109">
        <f>-'Cash Flow '!R68</f>
        <v>34920</v>
      </c>
      <c r="S14" s="109">
        <f>-'Cash Flow '!S68</f>
        <v>0</v>
      </c>
      <c r="T14" s="109">
        <f>-'Cash Flow '!T68</f>
        <v>0</v>
      </c>
      <c r="U14" s="109">
        <f>-'Cash Flow '!U68</f>
        <v>0</v>
      </c>
      <c r="V14" s="109">
        <f>-'Cash Flow '!V68</f>
        <v>0</v>
      </c>
      <c r="W14" s="109">
        <f>-'Cash Flow '!W68</f>
        <v>34920</v>
      </c>
      <c r="X14" s="109">
        <f>-'Cash Flow '!X68</f>
        <v>0</v>
      </c>
      <c r="Y14" s="109">
        <f>-'Cash Flow '!Y68</f>
        <v>0</v>
      </c>
      <c r="Z14" s="109">
        <f>-'Cash Flow '!Z68</f>
        <v>0</v>
      </c>
      <c r="AA14" s="109">
        <f>-'Cash Flow '!AA68</f>
        <v>0</v>
      </c>
      <c r="AB14" s="109">
        <f>AB15*AB17</f>
        <v>45082.709522819991</v>
      </c>
      <c r="AC14" s="109">
        <f t="shared" ref="AC14:AF14" si="14">AC15*AC17</f>
        <v>52157.715010455431</v>
      </c>
      <c r="AD14" s="109">
        <f t="shared" si="14"/>
        <v>55430.791288634995</v>
      </c>
      <c r="AE14" s="109">
        <f t="shared" si="14"/>
        <v>58841.705017822293</v>
      </c>
      <c r="AF14" s="109">
        <f t="shared" si="14"/>
        <v>62406.373804256422</v>
      </c>
    </row>
    <row r="15" spans="2:34" x14ac:dyDescent="0.35">
      <c r="B15" t="s">
        <v>81</v>
      </c>
      <c r="C15" s="109">
        <f>'Income Statement'!C38</f>
        <v>45471</v>
      </c>
      <c r="D15" s="109">
        <f>'Income Statement'!D38</f>
        <v>7779</v>
      </c>
      <c r="E15" s="109">
        <f>'Income Statement'!E38</f>
        <v>18525</v>
      </c>
      <c r="F15" s="109">
        <f>'Income Statement'!F38</f>
        <v>21952</v>
      </c>
      <c r="G15" s="109">
        <f>'Income Statement'!G38</f>
        <v>35929</v>
      </c>
      <c r="H15" s="109">
        <f>'Income Statement'!H38</f>
        <v>61152</v>
      </c>
      <c r="I15" s="109">
        <f>'Income Statement'!I38</f>
        <v>33597</v>
      </c>
      <c r="J15" s="109">
        <f>'Income Statement'!J38</f>
        <v>18013</v>
      </c>
      <c r="K15" s="109">
        <f>'Income Statement'!K38</f>
        <v>23297</v>
      </c>
      <c r="L15" s="109">
        <f>'Income Statement'!L38</f>
        <v>14162</v>
      </c>
      <c r="M15" s="109">
        <f>'Income Statement'!M38</f>
        <v>62741</v>
      </c>
      <c r="N15" s="109">
        <f>'Income Statement'!N38</f>
        <v>13675</v>
      </c>
      <c r="O15" s="109">
        <f>'Income Statement'!O38</f>
        <v>18308</v>
      </c>
      <c r="P15" s="109">
        <f>'Income Statement'!P38</f>
        <v>26655</v>
      </c>
      <c r="Q15" s="109">
        <f>'Income Statement'!Q38</f>
        <v>8593</v>
      </c>
      <c r="R15" s="109">
        <f>'Income Statement'!R38</f>
        <v>72413</v>
      </c>
      <c r="S15" s="109">
        <f>'Income Statement'!S38</f>
        <v>15060</v>
      </c>
      <c r="T15" s="109">
        <f>'Income Statement'!T38</f>
        <v>21199</v>
      </c>
      <c r="U15" s="109">
        <f>'Income Statement'!U38</f>
        <v>27898</v>
      </c>
      <c r="V15" s="109">
        <f>'Income Statement'!V38</f>
        <v>16217</v>
      </c>
      <c r="W15" s="109">
        <f>'Income Statement'!W38</f>
        <v>80274</v>
      </c>
      <c r="X15" s="109">
        <f>'Income Statement'!X38</f>
        <v>16426</v>
      </c>
      <c r="Y15" s="109">
        <f>'Income Statement'!Y38</f>
        <v>0</v>
      </c>
      <c r="Z15" s="109">
        <f>'Income Statement'!Z38</f>
        <v>0</v>
      </c>
      <c r="AA15" s="109">
        <f>'Income Statement'!AA38</f>
        <v>0</v>
      </c>
      <c r="AB15" s="109">
        <f>'Income Statement'!AB38</f>
        <v>90165.419045639981</v>
      </c>
      <c r="AC15" s="109">
        <f>'Income Statement'!AC38</f>
        <v>104315.43002091086</v>
      </c>
      <c r="AD15" s="109">
        <f>'Income Statement'!AD38</f>
        <v>110861.58257726999</v>
      </c>
      <c r="AE15" s="109">
        <f>'Income Statement'!AE38</f>
        <v>117683.41003564459</v>
      </c>
      <c r="AF15" s="109">
        <f>'Income Statement'!AF38</f>
        <v>124812.74760851284</v>
      </c>
    </row>
    <row r="17" spans="2:32" s="113" customFormat="1" x14ac:dyDescent="0.35">
      <c r="B17" s="112" t="s">
        <v>266</v>
      </c>
      <c r="C17" s="113">
        <f>C14/C15</f>
        <v>0.7820610938840139</v>
      </c>
      <c r="D17" s="113">
        <f t="shared" ref="D17:AA17" si="15">D14/D15</f>
        <v>0</v>
      </c>
      <c r="E17" s="113">
        <f t="shared" si="15"/>
        <v>0</v>
      </c>
      <c r="F17" s="113">
        <f t="shared" si="15"/>
        <v>0</v>
      </c>
      <c r="G17" s="113">
        <f t="shared" si="15"/>
        <v>0</v>
      </c>
      <c r="H17" s="113">
        <f t="shared" si="15"/>
        <v>0.58151981946624798</v>
      </c>
      <c r="I17" s="113">
        <f t="shared" si="15"/>
        <v>0</v>
      </c>
      <c r="J17" s="113">
        <f t="shared" si="15"/>
        <v>0</v>
      </c>
      <c r="K17" s="113">
        <f t="shared" si="15"/>
        <v>0</v>
      </c>
      <c r="L17" s="113">
        <f t="shared" si="15"/>
        <v>0</v>
      </c>
      <c r="M17" s="113">
        <f t="shared" si="15"/>
        <v>0.56250298847643487</v>
      </c>
      <c r="N17" s="113">
        <f t="shared" si="15"/>
        <v>0</v>
      </c>
      <c r="O17" s="113">
        <f t="shared" si="15"/>
        <v>0</v>
      </c>
      <c r="P17" s="113">
        <f t="shared" si="15"/>
        <v>0</v>
      </c>
      <c r="Q17" s="113">
        <f t="shared" si="15"/>
        <v>0</v>
      </c>
      <c r="R17" s="113">
        <f t="shared" si="15"/>
        <v>0.48223385303743804</v>
      </c>
      <c r="S17" s="113">
        <f t="shared" si="15"/>
        <v>0</v>
      </c>
      <c r="T17" s="113">
        <f t="shared" si="15"/>
        <v>0</v>
      </c>
      <c r="U17" s="113">
        <f t="shared" si="15"/>
        <v>0</v>
      </c>
      <c r="V17" s="113">
        <f t="shared" si="15"/>
        <v>0</v>
      </c>
      <c r="W17" s="113">
        <f t="shared" si="15"/>
        <v>0.43501009044024219</v>
      </c>
      <c r="X17" s="113">
        <f t="shared" si="15"/>
        <v>0</v>
      </c>
      <c r="Y17" s="113" t="e">
        <f t="shared" si="15"/>
        <v>#DIV/0!</v>
      </c>
      <c r="Z17" s="113" t="e">
        <f t="shared" si="15"/>
        <v>#DIV/0!</v>
      </c>
      <c r="AA17" s="113" t="e">
        <f t="shared" si="15"/>
        <v>#DIV/0!</v>
      </c>
      <c r="AB17" s="113">
        <v>0.5</v>
      </c>
      <c r="AC17" s="113">
        <v>0.5</v>
      </c>
      <c r="AD17" s="113">
        <v>0.5</v>
      </c>
      <c r="AE17" s="113">
        <v>0.5</v>
      </c>
      <c r="AF17" s="113">
        <v>0.5</v>
      </c>
    </row>
    <row r="18" spans="2:32" x14ac:dyDescent="0.35">
      <c r="AB18" s="7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C4E5-5A3E-4D48-B51F-439895788E05}">
  <dimension ref="B1:AF14"/>
  <sheetViews>
    <sheetView zoomScale="93" zoomScaleNormal="100" workbookViewId="0">
      <selection activeCell="AK32" sqref="AK32"/>
    </sheetView>
  </sheetViews>
  <sheetFormatPr defaultRowHeight="14.5" outlineLevelCol="1" x14ac:dyDescent="0.35"/>
  <cols>
    <col min="2" max="2" width="28.453125" customWidth="1"/>
    <col min="3" max="3" width="9.26953125" customWidth="1" collapsed="1"/>
    <col min="4" max="7" width="9.1796875" hidden="1" customWidth="1" outlineLevel="1"/>
    <col min="8" max="8" width="9" customWidth="1" collapsed="1"/>
    <col min="9" max="12" width="9.1796875" hidden="1" customWidth="1" outlineLevel="1"/>
    <col min="13" max="13" width="9.7265625" bestFit="1" customWidth="1" collapsed="1"/>
    <col min="14" max="17" width="9.1796875" hidden="1" customWidth="1" outlineLevel="1"/>
    <col min="18" max="18" width="9.7265625" bestFit="1" customWidth="1" collapsed="1"/>
    <col min="19" max="22" width="9.1796875" hidden="1" customWidth="1" outlineLevel="1"/>
    <col min="23" max="23" width="10.54296875" bestFit="1" customWidth="1" collapsed="1"/>
    <col min="24" max="27" width="9.1796875" hidden="1" customWidth="1" outlineLevel="1"/>
    <col min="28" max="28" width="9.1796875" customWidth="1" collapsed="1"/>
    <col min="29" max="32" width="9.81640625" bestFit="1" customWidth="1"/>
  </cols>
  <sheetData>
    <row r="1" spans="2:32" x14ac:dyDescent="0.35">
      <c r="B1" s="91" t="s">
        <v>140</v>
      </c>
      <c r="C1" s="92" t="s">
        <v>20</v>
      </c>
      <c r="D1" s="93" t="s">
        <v>21</v>
      </c>
      <c r="E1" s="93" t="s">
        <v>22</v>
      </c>
      <c r="F1" s="93" t="s">
        <v>23</v>
      </c>
      <c r="G1" s="93" t="s">
        <v>24</v>
      </c>
      <c r="H1" s="92" t="s">
        <v>25</v>
      </c>
      <c r="I1" s="93" t="s">
        <v>26</v>
      </c>
      <c r="J1" s="93" t="s">
        <v>27</v>
      </c>
      <c r="K1" s="93" t="s">
        <v>28</v>
      </c>
      <c r="L1" s="93" t="s">
        <v>29</v>
      </c>
      <c r="M1" s="92" t="s">
        <v>30</v>
      </c>
      <c r="N1" s="93" t="s">
        <v>31</v>
      </c>
      <c r="O1" s="93" t="s">
        <v>32</v>
      </c>
      <c r="P1" s="93" t="s">
        <v>33</v>
      </c>
      <c r="Q1" s="93" t="s">
        <v>34</v>
      </c>
      <c r="R1" s="92" t="s">
        <v>35</v>
      </c>
      <c r="S1" s="93" t="s">
        <v>36</v>
      </c>
      <c r="T1" s="93" t="s">
        <v>37</v>
      </c>
      <c r="U1" s="93" t="s">
        <v>38</v>
      </c>
      <c r="V1" s="93" t="s">
        <v>39</v>
      </c>
      <c r="W1" s="92" t="s">
        <v>40</v>
      </c>
      <c r="X1" s="94" t="s">
        <v>41</v>
      </c>
      <c r="Y1" s="95" t="s">
        <v>42</v>
      </c>
      <c r="Z1" s="95" t="s">
        <v>43</v>
      </c>
      <c r="AA1" s="95" t="s">
        <v>44</v>
      </c>
      <c r="AB1" s="95" t="s">
        <v>45</v>
      </c>
      <c r="AC1" s="95" t="s">
        <v>46</v>
      </c>
      <c r="AD1" s="95" t="s">
        <v>47</v>
      </c>
      <c r="AE1" s="95" t="s">
        <v>48</v>
      </c>
      <c r="AF1" s="95" t="s">
        <v>49</v>
      </c>
    </row>
    <row r="3" spans="2:32" x14ac:dyDescent="0.35">
      <c r="B3" s="102" t="s">
        <v>81</v>
      </c>
      <c r="C3" s="109">
        <f>'Income Statement'!C38</f>
        <v>45471</v>
      </c>
      <c r="D3" s="109">
        <f>'Income Statement'!D38</f>
        <v>7779</v>
      </c>
      <c r="E3" s="109">
        <f>'Income Statement'!E38</f>
        <v>18525</v>
      </c>
      <c r="F3" s="109">
        <f>'Income Statement'!F38</f>
        <v>21952</v>
      </c>
      <c r="G3" s="109">
        <f>'Income Statement'!G38</f>
        <v>35929</v>
      </c>
      <c r="H3" s="109">
        <f>'Income Statement'!H38</f>
        <v>61152</v>
      </c>
      <c r="I3" s="109">
        <f>'Income Statement'!I38</f>
        <v>33597</v>
      </c>
      <c r="J3" s="109">
        <f>'Income Statement'!J38</f>
        <v>18013</v>
      </c>
      <c r="K3" s="109">
        <f>'Income Statement'!K38</f>
        <v>23297</v>
      </c>
      <c r="L3" s="109">
        <f>'Income Statement'!L38</f>
        <v>14162</v>
      </c>
      <c r="M3" s="109">
        <f>'Income Statement'!M38</f>
        <v>62741</v>
      </c>
      <c r="N3" s="109">
        <f>'Income Statement'!N38</f>
        <v>13675</v>
      </c>
      <c r="O3" s="109">
        <f>'Income Statement'!O38</f>
        <v>18308</v>
      </c>
      <c r="P3" s="109">
        <f>'Income Statement'!P38</f>
        <v>26655</v>
      </c>
      <c r="Q3" s="109">
        <f>'Income Statement'!Q38</f>
        <v>8593</v>
      </c>
      <c r="R3" s="109">
        <f>'Income Statement'!R38</f>
        <v>72413</v>
      </c>
      <c r="S3" s="109">
        <f>'Income Statement'!S38</f>
        <v>15060</v>
      </c>
      <c r="T3" s="109">
        <f>'Income Statement'!T38</f>
        <v>21199</v>
      </c>
      <c r="U3" s="109">
        <f>'Income Statement'!U38</f>
        <v>27898</v>
      </c>
      <c r="V3" s="109">
        <f>'Income Statement'!V38</f>
        <v>16217</v>
      </c>
      <c r="W3" s="109">
        <f>'Income Statement'!W38</f>
        <v>80274</v>
      </c>
      <c r="X3" s="109">
        <f>'Income Statement'!X38</f>
        <v>16426</v>
      </c>
      <c r="Y3" s="109">
        <f>'Income Statement'!Y38</f>
        <v>0</v>
      </c>
      <c r="Z3" s="109">
        <f>'Income Statement'!Z38</f>
        <v>0</v>
      </c>
      <c r="AA3" s="109">
        <f>'Income Statement'!AA38</f>
        <v>0</v>
      </c>
      <c r="AB3" s="109">
        <f>'Income Statement'!AB38</f>
        <v>90165.419045639981</v>
      </c>
      <c r="AC3" s="109">
        <f>'Income Statement'!AC38</f>
        <v>104315.43002091086</v>
      </c>
      <c r="AD3" s="109">
        <f>'Income Statement'!AD38</f>
        <v>110861.58257726999</v>
      </c>
      <c r="AE3" s="109">
        <f>'Income Statement'!AE38</f>
        <v>117683.41003564459</v>
      </c>
      <c r="AF3" s="109">
        <f>'Income Statement'!AF38</f>
        <v>124812.74760851284</v>
      </c>
    </row>
    <row r="4" spans="2:32" x14ac:dyDescent="0.35">
      <c r="B4" s="102" t="s">
        <v>267</v>
      </c>
      <c r="C4" s="109">
        <f>'Income Statement'!C26</f>
        <v>36695</v>
      </c>
      <c r="D4" s="109">
        <f>'Income Statement'!D26</f>
        <v>8300</v>
      </c>
      <c r="E4" s="109">
        <f>'Income Statement'!E26</f>
        <v>8388</v>
      </c>
      <c r="F4" s="109">
        <f>'Income Statement'!F26</f>
        <v>8444</v>
      </c>
      <c r="G4" s="109">
        <f>'Income Statement'!G26</f>
        <v>8346</v>
      </c>
      <c r="H4" s="109">
        <f>'Income Statement'!H26</f>
        <v>33478</v>
      </c>
      <c r="I4" s="109">
        <f>'Income Statement'!I26</f>
        <v>8811</v>
      </c>
      <c r="J4" s="109">
        <f>'Income Statement'!J26</f>
        <v>4793</v>
      </c>
      <c r="K4" s="109">
        <f>'Income Statement'!K26</f>
        <v>4724</v>
      </c>
      <c r="L4" s="109">
        <f>'Income Statement'!L26</f>
        <v>6397</v>
      </c>
      <c r="M4" s="109">
        <f>'Income Statement'!M26</f>
        <v>24725</v>
      </c>
      <c r="N4" s="109">
        <f>'Income Statement'!N26</f>
        <v>4600</v>
      </c>
      <c r="O4" s="109">
        <f>'Income Statement'!O26</f>
        <v>4609</v>
      </c>
      <c r="P4" s="109">
        <f>'Income Statement'!P26</f>
        <v>4581</v>
      </c>
      <c r="Q4" s="109">
        <f>'Income Statement'!Q26</f>
        <v>10882</v>
      </c>
      <c r="R4" s="109">
        <f>'Income Statement'!R26</f>
        <v>18590</v>
      </c>
      <c r="S4" s="109">
        <f>'Income Statement'!S26</f>
        <v>4443</v>
      </c>
      <c r="T4" s="109">
        <f>'Income Statement'!T26</f>
        <v>4365</v>
      </c>
      <c r="U4" s="109">
        <f>'Income Statement'!U26</f>
        <v>4560</v>
      </c>
      <c r="V4" s="109">
        <f>'Income Statement'!V26</f>
        <v>4353</v>
      </c>
      <c r="W4" s="109">
        <f>'Income Statement'!W26</f>
        <v>17821</v>
      </c>
      <c r="X4" s="109">
        <f>'Income Statement'!X26</f>
        <v>4450</v>
      </c>
      <c r="Y4" s="109">
        <f>'Income Statement'!Y26</f>
        <v>0</v>
      </c>
      <c r="Z4" s="109">
        <f>'Income Statement'!Z26</f>
        <v>0</v>
      </c>
      <c r="AA4" s="109">
        <f>'Income Statement'!AA26</f>
        <v>0</v>
      </c>
      <c r="AB4" s="109">
        <f>'Income Statement'!AB26</f>
        <v>17250.938750000001</v>
      </c>
      <c r="AC4" s="109">
        <f>'Income Statement'!AC26</f>
        <v>9814.7949812499992</v>
      </c>
      <c r="AD4" s="109">
        <f>'Income Statement'!AD26</f>
        <v>9561.6670589687492</v>
      </c>
      <c r="AE4" s="109">
        <f>'Income Statement'!AE26</f>
        <v>9399.18268541828</v>
      </c>
      <c r="AF4" s="109">
        <f>'Income Statement'!AF26</f>
        <v>9314.1985460326305</v>
      </c>
    </row>
    <row r="5" spans="2:32" x14ac:dyDescent="0.35">
      <c r="B5" s="102" t="s">
        <v>268</v>
      </c>
      <c r="C5" s="109">
        <f>'Income Statement'!C31-(1-'Income Statement'!C37)</f>
        <v>1326.2007487871756</v>
      </c>
      <c r="D5" s="109">
        <f>'Income Statement'!D31-(1-'Income Statement'!D37)</f>
        <v>63.183478534690877</v>
      </c>
      <c r="E5" s="109">
        <f>'Income Statement'!E31-(1-'Income Statement'!E37)</f>
        <v>77.181360201511339</v>
      </c>
      <c r="F5" s="109">
        <f>'Income Statement'!F31-(1-'Income Statement'!F37)</f>
        <v>182.18275566806895</v>
      </c>
      <c r="G5" s="109">
        <f>'Income Statement'!G31-(1-'Income Statement'!G37)</f>
        <v>178.51242477188896</v>
      </c>
      <c r="H5" s="109">
        <f>'Income Statement'!H31-(1-'Income Statement'!H37)</f>
        <v>506.11781762575919</v>
      </c>
      <c r="I5" s="109">
        <f>'Income Statement'!I31-(1-'Income Statement'!I37)</f>
        <v>244.78456712672522</v>
      </c>
      <c r="J5" s="109">
        <f>'Income Statement'!J31-(1-'Income Statement'!J37)</f>
        <v>175.02905347132383</v>
      </c>
      <c r="K5" s="109">
        <f>'Income Statement'!K31-(1-'Income Statement'!K37)</f>
        <v>176.07360426276443</v>
      </c>
      <c r="L5" s="109">
        <f>'Income Statement'!L31-(1-'Income Statement'!L37)</f>
        <v>136.0422668560222</v>
      </c>
      <c r="M5" s="109">
        <f>'Income Statement'!M31-(1-'Income Statement'!M37)</f>
        <v>738.06293779404075</v>
      </c>
      <c r="N5" s="109">
        <f>'Income Statement'!N31-(1-'Income Statement'!N37)</f>
        <v>213.08620113598397</v>
      </c>
      <c r="O5" s="109">
        <f>'Income Statement'!O31-(1-'Income Statement'!O37)</f>
        <v>224.06548925527028</v>
      </c>
      <c r="P5" s="109">
        <f>'Income Statement'!P31-(1-'Income Statement'!P37)</f>
        <v>270.05488777789594</v>
      </c>
      <c r="Q5" s="109">
        <f>'Income Statement'!Q31-(1-'Income Statement'!Q37)</f>
        <v>287.20736094456231</v>
      </c>
      <c r="R5" s="109">
        <f>'Income Statement'!R31-(1-'Income Statement'!R37)</f>
        <v>997.08433018891787</v>
      </c>
      <c r="S5" s="109">
        <f>'Income Statement'!S31-(1-'Income Statement'!S37)</f>
        <v>205.15573494786412</v>
      </c>
      <c r="T5" s="109">
        <f>'Income Statement'!T31-(1-'Income Statement'!T37)</f>
        <v>232.04263198301948</v>
      </c>
      <c r="U5" s="109">
        <f>'Income Statement'!U31-(1-'Income Statement'!U37)</f>
        <v>216.07423261987722</v>
      </c>
      <c r="V5" s="109">
        <f>'Income Statement'!V31-(1-'Income Statement'!V37)</f>
        <v>277.16277749096542</v>
      </c>
      <c r="W5" s="109">
        <f>'Income Statement'!W31-(1-'Income Statement'!W37)</f>
        <v>933.10193990110304</v>
      </c>
      <c r="X5" s="109">
        <f>'Income Statement'!X31-(1-'Income Statement'!X37)</f>
        <v>242.12052256786421</v>
      </c>
      <c r="Y5" s="109">
        <f>'Income Statement'!Y31-(1-'Income Statement'!Y37)</f>
        <v>-1</v>
      </c>
      <c r="Z5" s="109">
        <f>'Income Statement'!Z31-(1-'Income Statement'!Z37)</f>
        <v>-1</v>
      </c>
      <c r="AA5" s="109">
        <f>'Income Statement'!AA31-(1-'Income Statement'!AA37)</f>
        <v>-1</v>
      </c>
      <c r="AB5" s="109">
        <f>'Income Statement'!AB31-(1-'Income Statement'!AB37)</f>
        <v>788.39519999999993</v>
      </c>
      <c r="AC5" s="109">
        <f>'Income Statement'!AC31-(1-'Income Statement'!AC37)</f>
        <v>856.39519999999993</v>
      </c>
      <c r="AD5" s="109">
        <f>'Income Statement'!AD31-(1-'Income Statement'!AD37)</f>
        <v>924.39519999999993</v>
      </c>
      <c r="AE5" s="109">
        <f>'Income Statement'!AE31-(1-'Income Statement'!AE37)</f>
        <v>992.39519999999993</v>
      </c>
      <c r="AF5" s="109">
        <f>'Income Statement'!AF31-(1-'Income Statement'!AF37)</f>
        <v>1060.3951999999999</v>
      </c>
    </row>
    <row r="6" spans="2:32" x14ac:dyDescent="0.35">
      <c r="B6" s="102" t="s">
        <v>269</v>
      </c>
      <c r="C6" s="109">
        <f>'D&amp;A'!C20</f>
        <v>3369.02</v>
      </c>
      <c r="D6" s="109">
        <f>'D&amp;A'!D20</f>
        <v>0</v>
      </c>
      <c r="E6" s="109">
        <f>'D&amp;A'!E20</f>
        <v>0</v>
      </c>
      <c r="F6" s="109">
        <f>'D&amp;A'!F20</f>
        <v>0</v>
      </c>
      <c r="G6" s="109">
        <f>'D&amp;A'!G20</f>
        <v>0</v>
      </c>
      <c r="H6" s="109">
        <f>'D&amp;A'!H20</f>
        <v>48356.160000000003</v>
      </c>
      <c r="I6" s="109">
        <f>'D&amp;A'!I20</f>
        <v>0</v>
      </c>
      <c r="J6" s="109">
        <f>'D&amp;A'!J20</f>
        <v>0</v>
      </c>
      <c r="K6" s="109">
        <f>'D&amp;A'!K20</f>
        <v>0</v>
      </c>
      <c r="L6" s="109">
        <f>'D&amp;A'!L20</f>
        <v>0</v>
      </c>
      <c r="M6" s="109">
        <f>'D&amp;A'!M20</f>
        <v>4045.88</v>
      </c>
      <c r="N6" s="109">
        <f>'D&amp;A'!N20</f>
        <v>0</v>
      </c>
      <c r="O6" s="109">
        <f>'D&amp;A'!O20</f>
        <v>0</v>
      </c>
      <c r="P6" s="109">
        <f>'D&amp;A'!P20</f>
        <v>0</v>
      </c>
      <c r="Q6" s="109">
        <f>'D&amp;A'!Q20</f>
        <v>0</v>
      </c>
      <c r="R6" s="109">
        <f>'D&amp;A'!R20</f>
        <v>4058.51</v>
      </c>
      <c r="S6" s="109">
        <f>'D&amp;A'!S20</f>
        <v>0</v>
      </c>
      <c r="T6" s="109">
        <f>'D&amp;A'!T20</f>
        <v>0</v>
      </c>
      <c r="U6" s="109">
        <f>'D&amp;A'!U20</f>
        <v>0</v>
      </c>
      <c r="V6" s="109">
        <f>'D&amp;A'!V20</f>
        <v>0</v>
      </c>
      <c r="W6" s="109">
        <f>'D&amp;A'!W20</f>
        <v>4457.43</v>
      </c>
      <c r="X6" s="109">
        <f>'D&amp;A'!X20</f>
        <v>0</v>
      </c>
      <c r="Y6" s="109">
        <f>'D&amp;A'!Y20</f>
        <v>0</v>
      </c>
      <c r="Z6" s="109">
        <f>'D&amp;A'!Z20</f>
        <v>0</v>
      </c>
      <c r="AA6" s="109">
        <f>'D&amp;A'!AA20</f>
        <v>0</v>
      </c>
      <c r="AB6" s="109">
        <f>'D&amp;A'!AB20</f>
        <v>4729.43</v>
      </c>
      <c r="AC6" s="109">
        <f>'D&amp;A'!AC20</f>
        <v>5001.43</v>
      </c>
      <c r="AD6" s="109">
        <f>'D&amp;A'!AD20</f>
        <v>5273.43</v>
      </c>
      <c r="AE6" s="109">
        <f>'D&amp;A'!AE20</f>
        <v>5545.43</v>
      </c>
      <c r="AF6" s="109">
        <f>'D&amp;A'!AF20</f>
        <v>5817.43</v>
      </c>
    </row>
    <row r="7" spans="2:32" s="115" customFormat="1" x14ac:dyDescent="0.35">
      <c r="B7" s="115" t="s">
        <v>270</v>
      </c>
      <c r="C7" s="116">
        <f>'Change in WC'!C13</f>
        <v>0</v>
      </c>
      <c r="D7" s="116">
        <f>'Change in WC'!D13</f>
        <v>0</v>
      </c>
      <c r="E7" s="116">
        <f>'Change in WC'!E13</f>
        <v>0</v>
      </c>
      <c r="F7" s="116">
        <f>'Change in WC'!F13</f>
        <v>0</v>
      </c>
      <c r="G7" s="116">
        <f>'Change in WC'!G13</f>
        <v>0</v>
      </c>
      <c r="H7" s="116">
        <f>'Change in WC'!H13</f>
        <v>-10713.069999999992</v>
      </c>
      <c r="I7" s="116">
        <f>'Change in WC'!I13</f>
        <v>0</v>
      </c>
      <c r="J7" s="116">
        <f>'Change in WC'!J13</f>
        <v>0</v>
      </c>
      <c r="K7" s="116">
        <f>'Change in WC'!K13</f>
        <v>0</v>
      </c>
      <c r="L7" s="116">
        <f>'Change in WC'!L13</f>
        <v>0</v>
      </c>
      <c r="M7" s="116">
        <f>'Change in WC'!M13</f>
        <v>19451.04</v>
      </c>
      <c r="N7" s="116">
        <f>'Change in WC'!N13</f>
        <v>0</v>
      </c>
      <c r="O7" s="116">
        <f>'Change in WC'!O13</f>
        <v>0</v>
      </c>
      <c r="P7" s="116">
        <f>'Change in WC'!P13</f>
        <v>0</v>
      </c>
      <c r="Q7" s="116">
        <f>'Change in WC'!Q13</f>
        <v>0</v>
      </c>
      <c r="R7" s="116">
        <f>'Change in WC'!R13</f>
        <v>8395.9199999999983</v>
      </c>
      <c r="S7" s="116">
        <f>'Change in WC'!S13</f>
        <v>0</v>
      </c>
      <c r="T7" s="116">
        <f>'Change in WC'!T13</f>
        <v>0</v>
      </c>
      <c r="U7" s="116">
        <f>'Change in WC'!U13</f>
        <v>0</v>
      </c>
      <c r="V7" s="116">
        <f>'Change in WC'!V13</f>
        <v>0</v>
      </c>
      <c r="W7" s="116">
        <f>'Change in WC'!W13</f>
        <v>24009.430000000008</v>
      </c>
      <c r="X7" s="116">
        <f>'Change in WC'!X13</f>
        <v>0</v>
      </c>
      <c r="Y7" s="116">
        <f>'Change in WC'!Y13</f>
        <v>0</v>
      </c>
      <c r="Z7" s="116">
        <f>'Change in WC'!Z13</f>
        <v>0</v>
      </c>
      <c r="AA7" s="116">
        <f>'Change in WC'!AA13</f>
        <v>0</v>
      </c>
      <c r="AB7" s="116">
        <f>'Change in WC'!AB13</f>
        <v>49612.774380746574</v>
      </c>
      <c r="AC7" s="116">
        <f>'Change in WC'!AC13</f>
        <v>6705.1784309062932</v>
      </c>
      <c r="AD7" s="116">
        <f>'Change in WC'!AD13</f>
        <v>8233.6801574525598</v>
      </c>
      <c r="AE7" s="116">
        <f>'Change in WC'!AE13</f>
        <v>8694.7662462699227</v>
      </c>
      <c r="AF7" s="116">
        <f>'Change in WC'!AF13</f>
        <v>9181.6731560609769</v>
      </c>
    </row>
    <row r="8" spans="2:32" s="98" customFormat="1" x14ac:dyDescent="0.35">
      <c r="B8" s="98" t="s">
        <v>271</v>
      </c>
      <c r="C8" s="107">
        <f>C3+C4+C5-C6-C7</f>
        <v>80123.18074878717</v>
      </c>
      <c r="D8" s="107">
        <f t="shared" ref="D8:AF8" si="0">D3+D4+D5-D6-D7</f>
        <v>16142.183478534691</v>
      </c>
      <c r="E8" s="107">
        <f t="shared" si="0"/>
        <v>26990.18136020151</v>
      </c>
      <c r="F8" s="107">
        <f t="shared" si="0"/>
        <v>30578.182755668069</v>
      </c>
      <c r="G8" s="107">
        <f t="shared" si="0"/>
        <v>44453.512424771892</v>
      </c>
      <c r="H8" s="107">
        <f t="shared" si="0"/>
        <v>57493.027817625742</v>
      </c>
      <c r="I8" s="107">
        <f t="shared" si="0"/>
        <v>42652.784567126728</v>
      </c>
      <c r="J8" s="107">
        <f t="shared" si="0"/>
        <v>22981.029053471324</v>
      </c>
      <c r="K8" s="107">
        <f t="shared" si="0"/>
        <v>28197.073604262765</v>
      </c>
      <c r="L8" s="107">
        <f t="shared" si="0"/>
        <v>20695.04226685602</v>
      </c>
      <c r="M8" s="107">
        <f t="shared" si="0"/>
        <v>64707.142937794029</v>
      </c>
      <c r="N8" s="107">
        <f t="shared" si="0"/>
        <v>18488.086201135982</v>
      </c>
      <c r="O8" s="107">
        <f t="shared" si="0"/>
        <v>23141.06548925527</v>
      </c>
      <c r="P8" s="107">
        <f t="shared" si="0"/>
        <v>31506.054887777897</v>
      </c>
      <c r="Q8" s="107">
        <f t="shared" si="0"/>
        <v>19762.207360944562</v>
      </c>
      <c r="R8" s="107">
        <f t="shared" si="0"/>
        <v>79545.654330188918</v>
      </c>
      <c r="S8" s="107">
        <f t="shared" si="0"/>
        <v>19708.155734947864</v>
      </c>
      <c r="T8" s="107">
        <f t="shared" si="0"/>
        <v>25796.042631983019</v>
      </c>
      <c r="U8" s="107">
        <f t="shared" si="0"/>
        <v>32674.074232619878</v>
      </c>
      <c r="V8" s="107">
        <f t="shared" si="0"/>
        <v>20847.162777490965</v>
      </c>
      <c r="W8" s="107">
        <f t="shared" si="0"/>
        <v>70561.241939901098</v>
      </c>
      <c r="X8" s="107">
        <f t="shared" si="0"/>
        <v>21118.120522567864</v>
      </c>
      <c r="Y8" s="107">
        <f t="shared" si="0"/>
        <v>-1</v>
      </c>
      <c r="Z8" s="107">
        <f t="shared" si="0"/>
        <v>-1</v>
      </c>
      <c r="AA8" s="107">
        <f t="shared" si="0"/>
        <v>-1</v>
      </c>
      <c r="AB8" s="107">
        <f t="shared" si="0"/>
        <v>53862.548614893414</v>
      </c>
      <c r="AC8" s="107">
        <f t="shared" si="0"/>
        <v>103280.01177125456</v>
      </c>
      <c r="AD8" s="107">
        <f t="shared" si="0"/>
        <v>107840.53467878618</v>
      </c>
      <c r="AE8" s="107">
        <f t="shared" si="0"/>
        <v>113834.79167479294</v>
      </c>
      <c r="AF8" s="107">
        <f t="shared" si="0"/>
        <v>120188.2381984845</v>
      </c>
    </row>
    <row r="14" spans="2:32" x14ac:dyDescent="0.35">
      <c r="AB14" s="11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FE40-B613-4905-9569-9842E0555869}">
  <dimension ref="B1:AJ22"/>
  <sheetViews>
    <sheetView zoomScale="85" zoomScaleNormal="85" workbookViewId="0">
      <selection activeCell="AB22" sqref="AB22"/>
    </sheetView>
  </sheetViews>
  <sheetFormatPr defaultRowHeight="14.5" outlineLevelCol="1" x14ac:dyDescent="0.35"/>
  <cols>
    <col min="2" max="2" width="28.453125" customWidth="1"/>
    <col min="3" max="3" width="11.90625" customWidth="1" collapsed="1"/>
    <col min="4" max="7" width="9.1796875" hidden="1" customWidth="1" outlineLevel="1"/>
    <col min="8" max="8" width="9" customWidth="1" collapsed="1"/>
    <col min="9" max="12" width="9.1796875" hidden="1" customWidth="1" outlineLevel="1"/>
    <col min="13" max="13" width="9.7265625" bestFit="1" customWidth="1" collapsed="1"/>
    <col min="14" max="17" width="9.1796875" hidden="1" customWidth="1" outlineLevel="1"/>
    <col min="18" max="18" width="9.7265625" bestFit="1" customWidth="1" collapsed="1"/>
    <col min="19" max="22" width="9.1796875" hidden="1" customWidth="1" outlineLevel="1"/>
    <col min="23" max="23" width="10.54296875" bestFit="1" customWidth="1" collapsed="1"/>
    <col min="24" max="27" width="9.1796875" hidden="1" customWidth="1" outlineLevel="1"/>
    <col min="28" max="28" width="9.1796875" customWidth="1" collapsed="1"/>
    <col min="29" max="32" width="9.81640625" bestFit="1" customWidth="1"/>
  </cols>
  <sheetData>
    <row r="1" spans="2:36" x14ac:dyDescent="0.35">
      <c r="B1" s="91" t="s">
        <v>140</v>
      </c>
      <c r="C1" s="92" t="s">
        <v>20</v>
      </c>
      <c r="D1" s="93" t="s">
        <v>21</v>
      </c>
      <c r="E1" s="93" t="s">
        <v>22</v>
      </c>
      <c r="F1" s="93" t="s">
        <v>23</v>
      </c>
      <c r="G1" s="93" t="s">
        <v>24</v>
      </c>
      <c r="H1" s="92" t="s">
        <v>25</v>
      </c>
      <c r="I1" s="93" t="s">
        <v>26</v>
      </c>
      <c r="J1" s="93" t="s">
        <v>27</v>
      </c>
      <c r="K1" s="93" t="s">
        <v>28</v>
      </c>
      <c r="L1" s="93" t="s">
        <v>29</v>
      </c>
      <c r="M1" s="92" t="s">
        <v>30</v>
      </c>
      <c r="N1" s="93" t="s">
        <v>31</v>
      </c>
      <c r="O1" s="93" t="s">
        <v>32</v>
      </c>
      <c r="P1" s="93" t="s">
        <v>33</v>
      </c>
      <c r="Q1" s="93" t="s">
        <v>34</v>
      </c>
      <c r="R1" s="92" t="s">
        <v>35</v>
      </c>
      <c r="S1" s="93" t="s">
        <v>36</v>
      </c>
      <c r="T1" s="93" t="s">
        <v>37</v>
      </c>
      <c r="U1" s="93" t="s">
        <v>38</v>
      </c>
      <c r="V1" s="93" t="s">
        <v>39</v>
      </c>
      <c r="W1" s="92" t="s">
        <v>40</v>
      </c>
      <c r="X1" s="94" t="s">
        <v>41</v>
      </c>
      <c r="Y1" s="95" t="s">
        <v>42</v>
      </c>
      <c r="Z1" s="95" t="s">
        <v>43</v>
      </c>
      <c r="AA1" s="95" t="s">
        <v>44</v>
      </c>
      <c r="AB1" s="95" t="s">
        <v>45</v>
      </c>
      <c r="AC1" s="95" t="s">
        <v>46</v>
      </c>
      <c r="AD1" s="95" t="s">
        <v>47</v>
      </c>
      <c r="AE1" s="95" t="s">
        <v>48</v>
      </c>
      <c r="AF1" s="95" t="s">
        <v>49</v>
      </c>
    </row>
    <row r="3" spans="2:36" x14ac:dyDescent="0.35">
      <c r="B3" t="s">
        <v>272</v>
      </c>
      <c r="C3" s="109">
        <f>'Balance Sheet'!C40</f>
        <v>176176.29</v>
      </c>
      <c r="D3" s="109">
        <f>'Balance Sheet'!D40</f>
        <v>0</v>
      </c>
      <c r="E3" s="109">
        <f>'Balance Sheet'!E40</f>
        <v>0</v>
      </c>
      <c r="F3" s="109">
        <f>'Balance Sheet'!F40</f>
        <v>0</v>
      </c>
      <c r="G3" s="109">
        <f>'Balance Sheet'!G40</f>
        <v>0</v>
      </c>
      <c r="H3" s="109">
        <f>'Balance Sheet'!H40</f>
        <v>207429.28</v>
      </c>
      <c r="I3" s="109">
        <f>'Balance Sheet'!I40</f>
        <v>0</v>
      </c>
      <c r="J3" s="109">
        <f>'Balance Sheet'!J40</f>
        <v>0</v>
      </c>
      <c r="K3" s="109">
        <f>'Balance Sheet'!K40</f>
        <v>0</v>
      </c>
      <c r="L3" s="109">
        <f>'Balance Sheet'!L40</f>
        <v>0</v>
      </c>
      <c r="M3" s="109">
        <f>'Balance Sheet'!M40</f>
        <v>231276.47</v>
      </c>
      <c r="N3" s="109">
        <f>'Balance Sheet'!N40</f>
        <v>0</v>
      </c>
      <c r="O3" s="109">
        <f>'Balance Sheet'!O40</f>
        <v>0</v>
      </c>
      <c r="P3" s="109">
        <f>'Balance Sheet'!P40</f>
        <v>0</v>
      </c>
      <c r="Q3" s="109">
        <f>'Balance Sheet'!Q40</f>
        <v>0</v>
      </c>
      <c r="R3" s="109">
        <f>'Balance Sheet'!R40</f>
        <v>245771.01</v>
      </c>
      <c r="S3" s="109">
        <f>'Balance Sheet'!S40</f>
        <v>0</v>
      </c>
      <c r="T3" s="109">
        <f>'Balance Sheet'!T40</f>
        <v>0</v>
      </c>
      <c r="U3" s="109">
        <f>'Balance Sheet'!U40</f>
        <v>0</v>
      </c>
      <c r="V3" s="109">
        <f>'Balance Sheet'!V40</f>
        <v>0</v>
      </c>
      <c r="W3" s="109">
        <f>'Balance Sheet'!W40</f>
        <v>269335.86</v>
      </c>
      <c r="X3" s="109">
        <f>'Balance Sheet'!X40</f>
        <v>0</v>
      </c>
      <c r="Y3" s="109">
        <f>'Balance Sheet'!Y40</f>
        <v>314612.99952282</v>
      </c>
      <c r="Z3" s="109">
        <f>'Balance Sheet'!Z40</f>
        <v>366770.71453327546</v>
      </c>
      <c r="AA3" s="109">
        <f>'Balance Sheet'!AA40</f>
        <v>422201.50582191045</v>
      </c>
      <c r="AB3" s="109">
        <f>'Balance Sheet'!Y40</f>
        <v>314612.99952282</v>
      </c>
      <c r="AC3" s="109">
        <f>'Balance Sheet'!Z40</f>
        <v>366770.71453327546</v>
      </c>
      <c r="AD3" s="109">
        <f>'Balance Sheet'!AA40</f>
        <v>422201.50582191045</v>
      </c>
      <c r="AE3" s="109">
        <f>'Balance Sheet'!AB40</f>
        <v>481043.21083973272</v>
      </c>
      <c r="AF3" s="109">
        <f>'Balance Sheet'!AC40</f>
        <v>543449.5846439891</v>
      </c>
    </row>
    <row r="4" spans="2:36" x14ac:dyDescent="0.35">
      <c r="B4" t="s">
        <v>260</v>
      </c>
      <c r="C4" s="109">
        <f>DEBT!C10</f>
        <v>25772.300000000003</v>
      </c>
      <c r="D4" s="109">
        <f>DEBT!D10</f>
        <v>1</v>
      </c>
      <c r="E4" s="109">
        <f>DEBT!E10</f>
        <v>2</v>
      </c>
      <c r="F4" s="109">
        <f>DEBT!F10</f>
        <v>3</v>
      </c>
      <c r="G4" s="109">
        <f>DEBT!G10</f>
        <v>4</v>
      </c>
      <c r="H4" s="109">
        <f>DEBT!H10</f>
        <v>43536.17</v>
      </c>
      <c r="I4" s="109">
        <f>DEBT!I10</f>
        <v>6</v>
      </c>
      <c r="J4" s="109">
        <f>DEBT!J10</f>
        <v>7</v>
      </c>
      <c r="K4" s="109">
        <f>DEBT!K10</f>
        <v>8</v>
      </c>
      <c r="L4" s="109">
        <f>DEBT!L10</f>
        <v>9</v>
      </c>
      <c r="M4" s="109">
        <f>DEBT!M10</f>
        <v>22030.46</v>
      </c>
      <c r="N4" s="109">
        <f>DEBT!N10</f>
        <v>0</v>
      </c>
      <c r="O4" s="109">
        <f>DEBT!O10</f>
        <v>0</v>
      </c>
      <c r="P4" s="109">
        <f>DEBT!P10</f>
        <v>0</v>
      </c>
      <c r="Q4" s="109">
        <f>DEBT!Q10</f>
        <v>0</v>
      </c>
      <c r="R4" s="109">
        <f>DEBT!R10</f>
        <v>19129.830000000002</v>
      </c>
      <c r="S4" s="109">
        <f>DEBT!S10</f>
        <v>0</v>
      </c>
      <c r="T4" s="109">
        <f>DEBT!T10</f>
        <v>0</v>
      </c>
      <c r="U4" s="109">
        <f>DEBT!U10</f>
        <v>0</v>
      </c>
      <c r="V4" s="109">
        <f>DEBT!V10</f>
        <v>0</v>
      </c>
      <c r="W4" s="109">
        <f>DEBT!W10</f>
        <v>16670.039999999997</v>
      </c>
      <c r="X4" s="109">
        <f>DEBT!X10</f>
        <v>0</v>
      </c>
      <c r="Y4" s="109">
        <f>DEBT!Y10</f>
        <v>0</v>
      </c>
      <c r="Z4" s="109">
        <f>DEBT!Z10</f>
        <v>0</v>
      </c>
      <c r="AA4" s="109">
        <f>DEBT!AA10</f>
        <v>0</v>
      </c>
      <c r="AB4" s="109">
        <f>DEBT!AB10</f>
        <v>19732.379999999997</v>
      </c>
      <c r="AC4" s="109">
        <f>DEBT!AC10</f>
        <v>21432.379999999997</v>
      </c>
      <c r="AD4" s="109">
        <f>DEBT!AD10</f>
        <v>23132.379999999997</v>
      </c>
      <c r="AE4" s="109">
        <f>DEBT!AE10</f>
        <v>24832.379999999997</v>
      </c>
      <c r="AF4" s="109">
        <f>DEBT!AF10</f>
        <v>26532.379999999997</v>
      </c>
    </row>
    <row r="5" spans="2:36" s="114" customFormat="1" x14ac:dyDescent="0.35">
      <c r="B5" s="114" t="s">
        <v>293</v>
      </c>
      <c r="C5" s="108">
        <f>C3+C4</f>
        <v>201948.59000000003</v>
      </c>
      <c r="D5" s="108">
        <f t="shared" ref="D5:AF5" si="0">D3+D4</f>
        <v>1</v>
      </c>
      <c r="E5" s="108">
        <f t="shared" si="0"/>
        <v>2</v>
      </c>
      <c r="F5" s="108">
        <f t="shared" si="0"/>
        <v>3</v>
      </c>
      <c r="G5" s="108">
        <f t="shared" si="0"/>
        <v>4</v>
      </c>
      <c r="H5" s="108">
        <f t="shared" si="0"/>
        <v>250965.45</v>
      </c>
      <c r="I5" s="108">
        <f t="shared" si="0"/>
        <v>6</v>
      </c>
      <c r="J5" s="108">
        <f t="shared" si="0"/>
        <v>7</v>
      </c>
      <c r="K5" s="108">
        <f t="shared" si="0"/>
        <v>8</v>
      </c>
      <c r="L5" s="108">
        <f t="shared" si="0"/>
        <v>9</v>
      </c>
      <c r="M5" s="108">
        <f t="shared" si="0"/>
        <v>253306.93</v>
      </c>
      <c r="N5" s="108">
        <f t="shared" si="0"/>
        <v>0</v>
      </c>
      <c r="O5" s="108">
        <f t="shared" si="0"/>
        <v>0</v>
      </c>
      <c r="P5" s="108">
        <f t="shared" si="0"/>
        <v>0</v>
      </c>
      <c r="Q5" s="108">
        <f t="shared" si="0"/>
        <v>0</v>
      </c>
      <c r="R5" s="108">
        <f t="shared" si="0"/>
        <v>264900.84000000003</v>
      </c>
      <c r="S5" s="108">
        <f t="shared" si="0"/>
        <v>0</v>
      </c>
      <c r="T5" s="108">
        <f t="shared" si="0"/>
        <v>0</v>
      </c>
      <c r="U5" s="108">
        <f t="shared" si="0"/>
        <v>0</v>
      </c>
      <c r="V5" s="108">
        <f t="shared" si="0"/>
        <v>0</v>
      </c>
      <c r="W5" s="108">
        <f t="shared" si="0"/>
        <v>286005.89999999997</v>
      </c>
      <c r="X5" s="108">
        <f t="shared" si="0"/>
        <v>0</v>
      </c>
      <c r="Y5" s="108">
        <f t="shared" si="0"/>
        <v>314612.99952282</v>
      </c>
      <c r="Z5" s="108">
        <f t="shared" si="0"/>
        <v>366770.71453327546</v>
      </c>
      <c r="AA5" s="108">
        <f t="shared" si="0"/>
        <v>422201.50582191045</v>
      </c>
      <c r="AB5" s="108">
        <f t="shared" si="0"/>
        <v>334345.37952282</v>
      </c>
      <c r="AC5" s="108">
        <f t="shared" si="0"/>
        <v>388203.09453327546</v>
      </c>
      <c r="AD5" s="108">
        <f t="shared" si="0"/>
        <v>445333.88582191046</v>
      </c>
      <c r="AE5" s="108">
        <f t="shared" si="0"/>
        <v>505875.59083973273</v>
      </c>
      <c r="AF5" s="108">
        <f t="shared" si="0"/>
        <v>569981.96464398911</v>
      </c>
    </row>
    <row r="6" spans="2:36" x14ac:dyDescent="0.35"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</row>
    <row r="7" spans="2:36" x14ac:dyDescent="0.35">
      <c r="B7" t="s">
        <v>294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</row>
    <row r="8" spans="2:36" x14ac:dyDescent="0.35">
      <c r="B8" t="s">
        <v>295</v>
      </c>
      <c r="C8" s="73">
        <f>DEBT!C14</f>
        <v>5.1489389771188443E-2</v>
      </c>
      <c r="D8" s="73">
        <f>DEBT!D14</f>
        <v>64</v>
      </c>
      <c r="E8" s="73">
        <f>DEBT!E14</f>
        <v>39</v>
      </c>
      <c r="F8" s="73">
        <f>DEBT!F14</f>
        <v>61</v>
      </c>
      <c r="G8" s="73">
        <f>DEBT!G14</f>
        <v>45.5</v>
      </c>
      <c r="H8" s="73">
        <f>DEBT!H14</f>
        <v>1.1645489256404502E-2</v>
      </c>
      <c r="I8" s="73">
        <f>DEBT!I14</f>
        <v>41.5</v>
      </c>
      <c r="J8" s="73">
        <f>DEBT!J14</f>
        <v>25.142857142857142</v>
      </c>
      <c r="K8" s="73">
        <f>DEBT!K14</f>
        <v>22.125</v>
      </c>
      <c r="L8" s="73">
        <f>DEBT!L14</f>
        <v>15.222222222222221</v>
      </c>
      <c r="M8" s="73">
        <f>DEBT!M14</f>
        <v>3.3544465254016484E-2</v>
      </c>
      <c r="N8" s="73" t="e">
        <f>DEBT!N14</f>
        <v>#DIV/0!</v>
      </c>
      <c r="O8" s="73" t="e">
        <f>DEBT!O14</f>
        <v>#DIV/0!</v>
      </c>
      <c r="P8" s="73" t="e">
        <f>DEBT!P14</f>
        <v>#DIV/0!</v>
      </c>
      <c r="Q8" s="73" t="e">
        <f>DEBT!Q14</f>
        <v>#DIV/0!</v>
      </c>
      <c r="R8" s="73">
        <f>DEBT!R14</f>
        <v>5.2169831096251243E-2</v>
      </c>
      <c r="S8" s="73" t="e">
        <f>DEBT!S14</f>
        <v>#DIV/0!</v>
      </c>
      <c r="T8" s="73" t="e">
        <f>DEBT!T14</f>
        <v>#DIV/0!</v>
      </c>
      <c r="U8" s="73" t="e">
        <f>DEBT!U14</f>
        <v>#DIV/0!</v>
      </c>
      <c r="V8" s="73" t="e">
        <f>DEBT!V14</f>
        <v>#DIV/0!</v>
      </c>
      <c r="W8" s="73">
        <f>DEBT!W14</f>
        <v>5.6028659799256642E-2</v>
      </c>
      <c r="X8" s="73" t="e">
        <f>DEBT!X14</f>
        <v>#DIV/0!</v>
      </c>
      <c r="Y8" s="73" t="e">
        <f>DEBT!Y14</f>
        <v>#DIV/0!</v>
      </c>
      <c r="Z8" s="73" t="e">
        <f>DEBT!Z14</f>
        <v>#DIV/0!</v>
      </c>
      <c r="AA8" s="73" t="e">
        <f>DEBT!AA14</f>
        <v>#DIV/0!</v>
      </c>
      <c r="AB8" s="73">
        <f>DEBT!AB14</f>
        <v>0.04</v>
      </c>
      <c r="AC8" s="73">
        <f>DEBT!AC14</f>
        <v>0.04</v>
      </c>
      <c r="AD8" s="73">
        <f>DEBT!AD14</f>
        <v>0.04</v>
      </c>
      <c r="AE8" s="73">
        <f>DEBT!AE14</f>
        <v>0.04</v>
      </c>
      <c r="AF8" s="73">
        <f>DEBT!AF14</f>
        <v>0.04</v>
      </c>
    </row>
    <row r="9" spans="2:36" x14ac:dyDescent="0.35">
      <c r="B9" t="s">
        <v>273</v>
      </c>
      <c r="C9" s="73">
        <f>'Income Statement'!C37</f>
        <v>0.20074878717570133</v>
      </c>
      <c r="D9" s="73">
        <f>'Income Statement'!D37</f>
        <v>0.18347853469087855</v>
      </c>
      <c r="E9" s="73">
        <f>'Income Statement'!E37</f>
        <v>0.181360201511335</v>
      </c>
      <c r="F9" s="73">
        <f>'Income Statement'!F37</f>
        <v>0.18275566806894755</v>
      </c>
      <c r="G9" s="73">
        <f>'Income Statement'!G37</f>
        <v>-2.4875752281110466</v>
      </c>
      <c r="H9" s="73">
        <f>'Income Statement'!H37</f>
        <v>0.11781762575917137</v>
      </c>
      <c r="I9" s="73">
        <f>'Income Statement'!I37</f>
        <v>-3.2154328732747803</v>
      </c>
      <c r="J9" s="73">
        <f>'Income Statement'!J37</f>
        <v>2.9053471323846485E-2</v>
      </c>
      <c r="K9" s="73">
        <f>'Income Statement'!K37</f>
        <v>7.3604262764434547E-2</v>
      </c>
      <c r="L9" s="73">
        <f>'Income Statement'!L37</f>
        <v>4.2266856022181644E-2</v>
      </c>
      <c r="M9" s="73">
        <f>'Income Statement'!M37</f>
        <v>6.2937794040773654E-2</v>
      </c>
      <c r="N9" s="73">
        <f>'Income Statement'!N37</f>
        <v>8.6201135983962576E-2</v>
      </c>
      <c r="O9" s="73">
        <f>'Income Statement'!O37</f>
        <v>6.5489255270277172E-2</v>
      </c>
      <c r="P9" s="73">
        <f>'Income Statement'!P37</f>
        <v>5.4887777895968513E-2</v>
      </c>
      <c r="Q9" s="73">
        <f>'Income Statement'!Q37</f>
        <v>0.20736094456230975</v>
      </c>
      <c r="R9" s="73">
        <f>'Income Statement'!R37</f>
        <v>8.433018891783213E-2</v>
      </c>
      <c r="S9" s="73">
        <f>'Income Statement'!S37</f>
        <v>0.15573494786411032</v>
      </c>
      <c r="T9" s="73">
        <f>'Income Statement'!T37</f>
        <v>4.2631983019464394E-2</v>
      </c>
      <c r="U9" s="73">
        <f>'Income Statement'!U37</f>
        <v>7.4232619877219186E-2</v>
      </c>
      <c r="V9" s="73">
        <f>'Income Statement'!V37</f>
        <v>0.16277749096541042</v>
      </c>
      <c r="W9" s="73">
        <f>'Income Statement'!W37</f>
        <v>0.10193990110308102</v>
      </c>
      <c r="X9" s="73">
        <f>'Income Statement'!X37</f>
        <v>0.12052256786421803</v>
      </c>
      <c r="Y9" s="73">
        <f>'Income Statement'!Y37</f>
        <v>0</v>
      </c>
      <c r="Z9" s="73">
        <f>'Income Statement'!Z37</f>
        <v>0</v>
      </c>
      <c r="AA9" s="73">
        <f>'Income Statement'!AA37</f>
        <v>0</v>
      </c>
      <c r="AB9" s="73">
        <f>'Income Statement'!AB37</f>
        <v>0.1</v>
      </c>
      <c r="AC9" s="73">
        <f>'Income Statement'!AC37</f>
        <v>0.1</v>
      </c>
      <c r="AD9" s="73">
        <f>'Income Statement'!AD37</f>
        <v>0.1</v>
      </c>
      <c r="AE9" s="73">
        <f>'Income Statement'!AE37</f>
        <v>0.1</v>
      </c>
      <c r="AF9" s="73">
        <f>'Income Statement'!AF37</f>
        <v>0.1</v>
      </c>
      <c r="AG9" s="132"/>
      <c r="AH9" s="132"/>
      <c r="AI9" s="132"/>
      <c r="AJ9" s="132"/>
    </row>
    <row r="10" spans="2:36" x14ac:dyDescent="0.35">
      <c r="B10" t="s">
        <v>296</v>
      </c>
      <c r="C10" s="73">
        <f>C8*(1-C9)</f>
        <v>4.1152957222205404E-2</v>
      </c>
      <c r="D10" s="73">
        <f t="shared" ref="D10:AF10" si="1">D8*(1-D9)</f>
        <v>52.257373779783777</v>
      </c>
      <c r="E10" s="73">
        <f t="shared" si="1"/>
        <v>31.926952141057935</v>
      </c>
      <c r="F10" s="73">
        <f t="shared" si="1"/>
        <v>49.851904247794202</v>
      </c>
      <c r="G10" s="73">
        <f t="shared" si="1"/>
        <v>158.68467287905261</v>
      </c>
      <c r="H10" s="73">
        <f t="shared" si="1"/>
        <v>1.0273445361410985E-2</v>
      </c>
      <c r="I10" s="73">
        <f t="shared" si="1"/>
        <v>174.9404642409034</v>
      </c>
      <c r="J10" s="73">
        <f t="shared" si="1"/>
        <v>24.412369863857574</v>
      </c>
      <c r="K10" s="73">
        <f t="shared" si="1"/>
        <v>20.496505686336885</v>
      </c>
      <c r="L10" s="73">
        <f t="shared" si="1"/>
        <v>14.578826747217901</v>
      </c>
      <c r="M10" s="73">
        <f t="shared" si="1"/>
        <v>3.1433250608651306E-2</v>
      </c>
      <c r="N10" s="73" t="e">
        <f t="shared" si="1"/>
        <v>#DIV/0!</v>
      </c>
      <c r="O10" s="73" t="e">
        <f t="shared" si="1"/>
        <v>#DIV/0!</v>
      </c>
      <c r="P10" s="73" t="e">
        <f t="shared" si="1"/>
        <v>#DIV/0!</v>
      </c>
      <c r="Q10" s="73" t="e">
        <f t="shared" si="1"/>
        <v>#DIV/0!</v>
      </c>
      <c r="R10" s="73">
        <f t="shared" si="1"/>
        <v>4.7770339384092982E-2</v>
      </c>
      <c r="S10" s="73" t="e">
        <f t="shared" si="1"/>
        <v>#DIV/0!</v>
      </c>
      <c r="T10" s="73" t="e">
        <f t="shared" si="1"/>
        <v>#DIV/0!</v>
      </c>
      <c r="U10" s="73" t="e">
        <f t="shared" si="1"/>
        <v>#DIV/0!</v>
      </c>
      <c r="V10" s="73" t="e">
        <f t="shared" si="1"/>
        <v>#DIV/0!</v>
      </c>
      <c r="W10" s="73">
        <f t="shared" si="1"/>
        <v>5.0317103760382245E-2</v>
      </c>
      <c r="X10" s="73" t="e">
        <f t="shared" si="1"/>
        <v>#DIV/0!</v>
      </c>
      <c r="Y10" s="73" t="e">
        <f t="shared" si="1"/>
        <v>#DIV/0!</v>
      </c>
      <c r="Z10" s="73" t="e">
        <f t="shared" si="1"/>
        <v>#DIV/0!</v>
      </c>
      <c r="AA10" s="73" t="e">
        <f t="shared" si="1"/>
        <v>#DIV/0!</v>
      </c>
      <c r="AB10" s="73">
        <f t="shared" si="1"/>
        <v>3.6000000000000004E-2</v>
      </c>
      <c r="AC10" s="73">
        <f t="shared" si="1"/>
        <v>3.6000000000000004E-2</v>
      </c>
      <c r="AD10" s="73">
        <f t="shared" si="1"/>
        <v>3.6000000000000004E-2</v>
      </c>
      <c r="AE10" s="73">
        <f t="shared" si="1"/>
        <v>3.6000000000000004E-2</v>
      </c>
      <c r="AF10" s="73">
        <f t="shared" si="1"/>
        <v>3.6000000000000004E-2</v>
      </c>
    </row>
    <row r="11" spans="2:36" s="114" customFormat="1" x14ac:dyDescent="0.35">
      <c r="B11" s="114" t="s">
        <v>297</v>
      </c>
      <c r="C11" s="134">
        <f>C4/C5</f>
        <v>0.12761812300843497</v>
      </c>
      <c r="D11" s="134">
        <f t="shared" ref="D11:AF11" si="2">D4/D5</f>
        <v>1</v>
      </c>
      <c r="E11" s="134">
        <f t="shared" si="2"/>
        <v>1</v>
      </c>
      <c r="F11" s="134">
        <f t="shared" si="2"/>
        <v>1</v>
      </c>
      <c r="G11" s="134">
        <f t="shared" si="2"/>
        <v>1</v>
      </c>
      <c r="H11" s="134">
        <f t="shared" si="2"/>
        <v>0.17347475519040567</v>
      </c>
      <c r="I11" s="134">
        <f t="shared" si="2"/>
        <v>1</v>
      </c>
      <c r="J11" s="134">
        <f t="shared" si="2"/>
        <v>1</v>
      </c>
      <c r="K11" s="134">
        <f t="shared" si="2"/>
        <v>1</v>
      </c>
      <c r="L11" s="134">
        <f t="shared" si="2"/>
        <v>1</v>
      </c>
      <c r="M11" s="134">
        <f t="shared" si="2"/>
        <v>8.6971406585678493E-2</v>
      </c>
      <c r="N11" s="134" t="e">
        <f t="shared" si="2"/>
        <v>#DIV/0!</v>
      </c>
      <c r="O11" s="134" t="e">
        <f t="shared" si="2"/>
        <v>#DIV/0!</v>
      </c>
      <c r="P11" s="134" t="e">
        <f t="shared" si="2"/>
        <v>#DIV/0!</v>
      </c>
      <c r="Q11" s="134" t="e">
        <f t="shared" si="2"/>
        <v>#DIV/0!</v>
      </c>
      <c r="R11" s="134">
        <f t="shared" si="2"/>
        <v>7.2215059793694872E-2</v>
      </c>
      <c r="S11" s="134" t="e">
        <f t="shared" si="2"/>
        <v>#DIV/0!</v>
      </c>
      <c r="T11" s="134" t="e">
        <f t="shared" si="2"/>
        <v>#DIV/0!</v>
      </c>
      <c r="U11" s="134" t="e">
        <f t="shared" si="2"/>
        <v>#DIV/0!</v>
      </c>
      <c r="V11" s="134" t="e">
        <f t="shared" si="2"/>
        <v>#DIV/0!</v>
      </c>
      <c r="W11" s="134">
        <f t="shared" si="2"/>
        <v>5.8285650750561434E-2</v>
      </c>
      <c r="X11" s="134" t="e">
        <f t="shared" si="2"/>
        <v>#DIV/0!</v>
      </c>
      <c r="Y11" s="134">
        <f t="shared" si="2"/>
        <v>0</v>
      </c>
      <c r="Z11" s="134">
        <f t="shared" si="2"/>
        <v>0</v>
      </c>
      <c r="AA11" s="134">
        <f t="shared" si="2"/>
        <v>0</v>
      </c>
      <c r="AB11" s="134">
        <f t="shared" si="2"/>
        <v>5.9017953315706605E-2</v>
      </c>
      <c r="AC11" s="134">
        <f t="shared" si="2"/>
        <v>5.5209194109509828E-2</v>
      </c>
      <c r="AD11" s="134">
        <f t="shared" si="2"/>
        <v>5.1943902623324434E-2</v>
      </c>
      <c r="AE11" s="134">
        <f t="shared" si="2"/>
        <v>4.9087918946196366E-2</v>
      </c>
      <c r="AF11" s="134">
        <f t="shared" si="2"/>
        <v>4.6549507959558208E-2</v>
      </c>
    </row>
    <row r="12" spans="2:36" x14ac:dyDescent="0.35"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</row>
    <row r="13" spans="2:36" s="98" customFormat="1" x14ac:dyDescent="0.35">
      <c r="B13" t="s">
        <v>298</v>
      </c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I13"/>
      <c r="AJ13"/>
    </row>
    <row r="14" spans="2:36" x14ac:dyDescent="0.35">
      <c r="B14" t="s">
        <v>299</v>
      </c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>
        <v>6.5</v>
      </c>
      <c r="Y14" s="129">
        <v>6.5</v>
      </c>
      <c r="Z14" s="129">
        <v>6.5</v>
      </c>
      <c r="AA14" s="129">
        <v>6.5</v>
      </c>
      <c r="AB14" s="62">
        <v>0.05</v>
      </c>
      <c r="AC14" s="129"/>
      <c r="AD14" s="129"/>
      <c r="AE14" s="129"/>
      <c r="AF14" s="129"/>
    </row>
    <row r="15" spans="2:36" x14ac:dyDescent="0.35">
      <c r="B15" t="s">
        <v>300</v>
      </c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62">
        <v>0.12</v>
      </c>
      <c r="AC15" s="129"/>
      <c r="AD15" s="129"/>
      <c r="AE15" s="129"/>
      <c r="AF15" s="129"/>
      <c r="AJ15" s="113"/>
    </row>
    <row r="16" spans="2:36" x14ac:dyDescent="0.35">
      <c r="B16" t="s">
        <v>301</v>
      </c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35">
        <f>AB15-AB14</f>
        <v>6.9999999999999993E-2</v>
      </c>
      <c r="AC16" s="129"/>
      <c r="AD16" s="129"/>
      <c r="AE16" s="129"/>
      <c r="AF16" s="129"/>
      <c r="AJ16" s="114"/>
    </row>
    <row r="17" spans="2:32" x14ac:dyDescent="0.35">
      <c r="B17" t="s">
        <v>302</v>
      </c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38">
        <v>0.59</v>
      </c>
      <c r="AC17" s="129"/>
      <c r="AD17" s="129"/>
      <c r="AE17" s="129"/>
      <c r="AF17" s="129"/>
    </row>
    <row r="18" spans="2:32" s="98" customFormat="1" x14ac:dyDescent="0.35">
      <c r="B18" s="114" t="s">
        <v>303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>
        <f>AB14+(AB16*AB17)</f>
        <v>9.1299999999999992E-2</v>
      </c>
      <c r="AC18" s="130"/>
      <c r="AD18" s="130"/>
      <c r="AE18" s="130"/>
      <c r="AF18" s="130"/>
    </row>
    <row r="19" spans="2:32" s="114" customFormat="1" x14ac:dyDescent="0.35">
      <c r="B19" s="114" t="s">
        <v>304</v>
      </c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>
        <f>AB3/AB5</f>
        <v>0.94098204668429342</v>
      </c>
      <c r="AC19" s="130"/>
      <c r="AD19" s="130"/>
      <c r="AE19" s="130"/>
      <c r="AF19" s="130"/>
    </row>
    <row r="20" spans="2:32" s="98" customFormat="1" x14ac:dyDescent="0.35">
      <c r="B20" s="114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</row>
    <row r="21" spans="2:32" x14ac:dyDescent="0.35"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</row>
    <row r="22" spans="2:32" s="114" customFormat="1" x14ac:dyDescent="0.35">
      <c r="B22" s="135" t="s">
        <v>305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40">
        <f>AB11*AB10+AB19*AB18</f>
        <v>8.8036307181641432E-2</v>
      </c>
      <c r="AC22" s="130"/>
      <c r="AD22" s="130"/>
      <c r="AE22" s="130"/>
      <c r="AF22" s="13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8CC1-D963-4732-8B8C-66D0C35739A6}">
  <dimension ref="B1:AI25"/>
  <sheetViews>
    <sheetView tabSelected="1" zoomScale="85" zoomScaleNormal="85" workbookViewId="0">
      <selection activeCell="AB24" sqref="AB24"/>
    </sheetView>
  </sheetViews>
  <sheetFormatPr defaultRowHeight="14.5" outlineLevelCol="1" x14ac:dyDescent="0.35"/>
  <cols>
    <col min="2" max="2" width="40.26953125" bestFit="1" customWidth="1"/>
    <col min="3" max="3" width="9.81640625" bestFit="1" customWidth="1" collapsed="1"/>
    <col min="4" max="7" width="10.26953125" hidden="1" customWidth="1" outlineLevel="1"/>
    <col min="8" max="8" width="9.81640625" bestFit="1" customWidth="1" collapsed="1"/>
    <col min="9" max="12" width="10.26953125" hidden="1" customWidth="1" outlineLevel="1"/>
    <col min="13" max="13" width="9.81640625" bestFit="1" customWidth="1" collapsed="1"/>
    <col min="14" max="17" width="10.26953125" hidden="1" customWidth="1" outlineLevel="1"/>
    <col min="18" max="18" width="9.81640625" bestFit="1" customWidth="1" collapsed="1"/>
    <col min="19" max="22" width="10.26953125" hidden="1" customWidth="1" outlineLevel="1"/>
    <col min="23" max="23" width="11.54296875" bestFit="1" customWidth="1" collapsed="1"/>
    <col min="24" max="24" width="10.36328125" hidden="1" customWidth="1" outlineLevel="1"/>
    <col min="25" max="27" width="11.7265625" hidden="1" customWidth="1" outlineLevel="1"/>
    <col min="28" max="28" width="11.26953125" bestFit="1" customWidth="1" collapsed="1"/>
    <col min="29" max="31" width="11.26953125" bestFit="1" customWidth="1"/>
    <col min="32" max="32" width="11.81640625" bestFit="1" customWidth="1"/>
  </cols>
  <sheetData>
    <row r="1" spans="2:35" x14ac:dyDescent="0.35">
      <c r="B1" s="91" t="s">
        <v>140</v>
      </c>
      <c r="C1" s="92" t="s">
        <v>20</v>
      </c>
      <c r="D1" s="93" t="s">
        <v>21</v>
      </c>
      <c r="E1" s="93" t="s">
        <v>22</v>
      </c>
      <c r="F1" s="93" t="s">
        <v>23</v>
      </c>
      <c r="G1" s="93" t="s">
        <v>24</v>
      </c>
      <c r="H1" s="92" t="s">
        <v>25</v>
      </c>
      <c r="I1" s="93" t="s">
        <v>26</v>
      </c>
      <c r="J1" s="93" t="s">
        <v>27</v>
      </c>
      <c r="K1" s="93" t="s">
        <v>28</v>
      </c>
      <c r="L1" s="93" t="s">
        <v>29</v>
      </c>
      <c r="M1" s="92" t="s">
        <v>30</v>
      </c>
      <c r="N1" s="93" t="s">
        <v>31</v>
      </c>
      <c r="O1" s="93" t="s">
        <v>32</v>
      </c>
      <c r="P1" s="93" t="s">
        <v>33</v>
      </c>
      <c r="Q1" s="93" t="s">
        <v>34</v>
      </c>
      <c r="R1" s="92" t="s">
        <v>35</v>
      </c>
      <c r="S1" s="93" t="s">
        <v>36</v>
      </c>
      <c r="T1" s="93" t="s">
        <v>37</v>
      </c>
      <c r="U1" s="93" t="s">
        <v>38</v>
      </c>
      <c r="V1" s="93" t="s">
        <v>39</v>
      </c>
      <c r="W1" s="92" t="s">
        <v>40</v>
      </c>
      <c r="X1" s="94" t="s">
        <v>41</v>
      </c>
      <c r="Y1" s="95" t="s">
        <v>42</v>
      </c>
      <c r="Z1" s="95" t="s">
        <v>43</v>
      </c>
      <c r="AA1" s="95" t="s">
        <v>44</v>
      </c>
      <c r="AB1" s="95" t="s">
        <v>45</v>
      </c>
      <c r="AC1" s="95" t="s">
        <v>46</v>
      </c>
      <c r="AD1" s="95" t="s">
        <v>47</v>
      </c>
      <c r="AE1" s="95" t="s">
        <v>48</v>
      </c>
      <c r="AF1" s="95" t="s">
        <v>49</v>
      </c>
    </row>
    <row r="2" spans="2:35" x14ac:dyDescent="0.35">
      <c r="B2" s="136" t="s">
        <v>275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0</v>
      </c>
      <c r="AC2" s="3">
        <v>1</v>
      </c>
      <c r="AD2" s="3">
        <v>2</v>
      </c>
      <c r="AE2" s="3">
        <v>3</v>
      </c>
      <c r="AF2" s="3">
        <v>4</v>
      </c>
    </row>
    <row r="3" spans="2:35" x14ac:dyDescent="0.35">
      <c r="B3" s="136" t="s">
        <v>271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>
        <v>19690</v>
      </c>
      <c r="Y3" s="64">
        <v>0</v>
      </c>
      <c r="Z3" s="64">
        <v>0</v>
      </c>
      <c r="AA3" s="64">
        <v>0</v>
      </c>
      <c r="AB3" s="117">
        <f>FCFF!AB8</f>
        <v>53862.548614893414</v>
      </c>
      <c r="AC3" s="117">
        <f>FCFF!AC8</f>
        <v>103280.01177125456</v>
      </c>
      <c r="AD3" s="117">
        <f>FCFF!AD8</f>
        <v>107840.53467878618</v>
      </c>
      <c r="AE3" s="117">
        <f>FCFF!AE8</f>
        <v>113834.79167479294</v>
      </c>
      <c r="AF3" s="117">
        <f>FCFF!AF8</f>
        <v>120188.2381984845</v>
      </c>
    </row>
    <row r="4" spans="2:35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136"/>
      <c r="AF4" s="136"/>
    </row>
    <row r="5" spans="2:35" s="98" customFormat="1" x14ac:dyDescent="0.35">
      <c r="B5" s="94" t="s">
        <v>276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>
        <f>AF3/(AB7-AB8)</f>
        <v>3159829.307943292</v>
      </c>
    </row>
    <row r="6" spans="2:35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2:35" s="98" customFormat="1" x14ac:dyDescent="0.35">
      <c r="B7" s="94" t="s">
        <v>277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118">
        <f>WACC!AB22</f>
        <v>8.8036307181641432E-2</v>
      </c>
      <c r="AC7" s="94"/>
      <c r="AD7" s="94"/>
      <c r="AE7" s="94"/>
      <c r="AF7" s="94"/>
    </row>
    <row r="8" spans="2:35" x14ac:dyDescent="0.35">
      <c r="B8" s="136" t="s">
        <v>274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119">
        <f>WACC!AB14</f>
        <v>0.05</v>
      </c>
      <c r="AC8" s="3"/>
      <c r="AD8" s="3"/>
      <c r="AE8" s="3"/>
      <c r="AF8" s="3"/>
    </row>
    <row r="9" spans="2:35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2:35" s="98" customFormat="1" x14ac:dyDescent="0.35">
      <c r="B10" s="94" t="s">
        <v>278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101">
        <f>AB3+AB5</f>
        <v>53862.548614893414</v>
      </c>
      <c r="AC10" s="101">
        <f t="shared" ref="AC10:AD10" si="0">AC3+AC5</f>
        <v>103280.01177125456</v>
      </c>
      <c r="AD10" s="101">
        <f t="shared" si="0"/>
        <v>107840.53467878618</v>
      </c>
      <c r="AE10" s="101">
        <f>AE3+AE5</f>
        <v>113834.79167479294</v>
      </c>
      <c r="AF10" s="101">
        <f>AF3+AF5</f>
        <v>3280017.5461417763</v>
      </c>
    </row>
    <row r="11" spans="2:35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2:35" x14ac:dyDescent="0.35">
      <c r="B12" s="136" t="s">
        <v>279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64">
        <f>AB10/(1+$AB$7)^AB2</f>
        <v>53862.548614893414</v>
      </c>
      <c r="AC12" s="64">
        <f t="shared" ref="AC12:AF12" si="1">AC10/(1+$AB$7)^AC2</f>
        <v>94923.313762187303</v>
      </c>
      <c r="AD12" s="64">
        <f t="shared" si="1"/>
        <v>91095.150335313927</v>
      </c>
      <c r="AE12" s="64">
        <f t="shared" si="1"/>
        <v>88378.139303467688</v>
      </c>
      <c r="AF12" s="64">
        <f t="shared" si="1"/>
        <v>2340467.5053412667</v>
      </c>
      <c r="AI12" s="114"/>
    </row>
    <row r="13" spans="2:35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2:35" s="98" customFormat="1" x14ac:dyDescent="0.35">
      <c r="B14" s="94" t="s">
        <v>280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101">
        <f>SUM(AB12:AF12)</f>
        <v>2668726.6573571293</v>
      </c>
      <c r="AC14" s="94"/>
      <c r="AD14" s="94"/>
      <c r="AE14" s="94"/>
      <c r="AF14" s="94"/>
    </row>
    <row r="15" spans="2:35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2:35" x14ac:dyDescent="0.35">
      <c r="B16" s="136" t="s">
        <v>281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120">
        <v>4360</v>
      </c>
      <c r="AC16" s="120">
        <v>4360</v>
      </c>
      <c r="AD16" s="120">
        <v>4360</v>
      </c>
      <c r="AE16" s="120">
        <v>4360</v>
      </c>
      <c r="AF16" s="120">
        <v>4360</v>
      </c>
    </row>
    <row r="17" spans="2:34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2:34" x14ac:dyDescent="0.35">
      <c r="B18" s="94" t="s">
        <v>282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137">
        <f>AB14/AB16</f>
        <v>612.0932700360388</v>
      </c>
      <c r="AC18" s="3"/>
      <c r="AD18" s="3"/>
      <c r="AE18" s="3"/>
      <c r="AF18" s="3"/>
    </row>
    <row r="19" spans="2:34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2:34" x14ac:dyDescent="0.35">
      <c r="B20" s="136" t="s">
        <v>283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121">
        <f>'Income Statement'!AB38/'DCF Valuation'!AB16</f>
        <v>20.680141982944949</v>
      </c>
      <c r="AC20" s="121">
        <f>'Income Statement'!AC38/'DCF Valuation'!AC16</f>
        <v>23.925557344245611</v>
      </c>
      <c r="AD20" s="121">
        <f>'Income Statement'!AD38/'DCF Valuation'!AD16</f>
        <v>25.426968481025227</v>
      </c>
      <c r="AE20" s="121">
        <f>'Income Statement'!AE38/'DCF Valuation'!AE16</f>
        <v>26.9916078063405</v>
      </c>
      <c r="AF20" s="121">
        <f>'Income Statement'!AF38/'DCF Valuation'!AF16</f>
        <v>28.62677697442955</v>
      </c>
    </row>
    <row r="21" spans="2:34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2:34" x14ac:dyDescent="0.35">
      <c r="B22" s="136" t="s">
        <v>284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122">
        <v>29</v>
      </c>
      <c r="AC22" s="122">
        <v>29</v>
      </c>
      <c r="AD22" s="122">
        <v>29</v>
      </c>
      <c r="AE22" s="122">
        <v>29</v>
      </c>
      <c r="AF22" s="122">
        <v>29</v>
      </c>
    </row>
    <row r="23" spans="2:34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2:34" x14ac:dyDescent="0.35">
      <c r="B24" s="136" t="s">
        <v>285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>
        <v>480</v>
      </c>
      <c r="X24" s="3"/>
      <c r="Y24" s="3"/>
      <c r="Z24" s="3"/>
      <c r="AA24" s="3"/>
      <c r="AB24" s="123">
        <f>AB20*AB22</f>
        <v>599.72411750540357</v>
      </c>
      <c r="AC24" s="123">
        <f t="shared" ref="AC24:AF24" si="2">AC20*AC22</f>
        <v>693.84116298312267</v>
      </c>
      <c r="AD24" s="123">
        <f t="shared" si="2"/>
        <v>737.38208594973162</v>
      </c>
      <c r="AE24" s="123">
        <f t="shared" si="2"/>
        <v>782.7566263838745</v>
      </c>
      <c r="AF24" s="123">
        <f t="shared" si="2"/>
        <v>830.17653225845697</v>
      </c>
      <c r="AH24" s="114"/>
    </row>
    <row r="25" spans="2:34" x14ac:dyDescent="0.35">
      <c r="W25" s="114" t="str">
        <f>IF(W24&lt;AB18,"Undervalued","Overvalued")</f>
        <v>Undervalued</v>
      </c>
      <c r="AB25" s="141"/>
      <c r="AC25" s="141"/>
      <c r="AD25" s="141"/>
      <c r="AE25" s="141"/>
      <c r="AF25" s="1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Basic</vt:lpstr>
      <vt:lpstr>Income Statement</vt:lpstr>
      <vt:lpstr>Balance Sheet</vt:lpstr>
      <vt:lpstr>Cash Flow </vt:lpstr>
      <vt:lpstr>Revenue Tab</vt:lpstr>
      <vt:lpstr>Expense Tab</vt:lpstr>
      <vt:lpstr>Current Assets</vt:lpstr>
      <vt:lpstr>Current Liability</vt:lpstr>
      <vt:lpstr>Change in WC</vt:lpstr>
      <vt:lpstr>D&amp;A</vt:lpstr>
      <vt:lpstr>DEBT</vt:lpstr>
      <vt:lpstr>Equity Scheduled</vt:lpstr>
      <vt:lpstr>FCFF</vt:lpstr>
      <vt:lpstr>WACC</vt:lpstr>
      <vt:lpstr>DCF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Shreejee Pandit</dc:creator>
  <dc:description/>
  <cp:lastModifiedBy>Shreejee Pandit</cp:lastModifiedBy>
  <cp:revision>1</cp:revision>
  <dcterms:created xsi:type="dcterms:W3CDTF">2025-10-24T15:15:45Z</dcterms:created>
  <dcterms:modified xsi:type="dcterms:W3CDTF">2026-02-21T14:19:50Z</dcterms:modified>
  <dc:language>en-US</dc:language>
</cp:coreProperties>
</file>